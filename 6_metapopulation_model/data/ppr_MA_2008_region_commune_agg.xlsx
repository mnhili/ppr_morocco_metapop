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PhD_Central\Dual-summary-stat\"/>
    </mc:Choice>
  </mc:AlternateContent>
  <xr:revisionPtr revIDLastSave="0" documentId="13_ncr:1_{86F2568E-D18D-4044-B7C3-58BAD0FCB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<sst xmlns="http://schemas.openxmlformats.org/spreadsheetml/2006/main" count="467" uniqueCount="148">
  <si>
    <t>Start Date</t>
  </si>
  <si>
    <t>REGION</t>
  </si>
  <si>
    <t>COMMUNE</t>
  </si>
  <si>
    <t>Susceptible</t>
  </si>
  <si>
    <t>Cases</t>
  </si>
  <si>
    <t>Deaths</t>
  </si>
  <si>
    <t>Fés-Meknès</t>
  </si>
  <si>
    <t>Ain Chkef</t>
  </si>
  <si>
    <t>Casablanca-Settat</t>
  </si>
  <si>
    <t>Sidi Bettache</t>
  </si>
  <si>
    <t>Tanger-Tétouan-Al Hoceima</t>
  </si>
  <si>
    <t>Moulay Ahmed Cherif</t>
  </si>
  <si>
    <t>Ouislane</t>
  </si>
  <si>
    <t>Ain Kansra</t>
  </si>
  <si>
    <t>Ouazzane</t>
  </si>
  <si>
    <t>Sahel Oulad H'Riz</t>
  </si>
  <si>
    <t>Oriental</t>
  </si>
  <si>
    <t>Houara Oulad Raho</t>
  </si>
  <si>
    <t>Matmata</t>
  </si>
  <si>
    <t>Had Soualem</t>
  </si>
  <si>
    <t>Ben Smim</t>
  </si>
  <si>
    <t>Sidi El Makhfi</t>
  </si>
  <si>
    <t>Sidi Boutmim</t>
  </si>
  <si>
    <t>Béni Mellal-Khénifra</t>
  </si>
  <si>
    <t>Oulad Zmam</t>
  </si>
  <si>
    <t>Aguelmouss</t>
  </si>
  <si>
    <t>Dayat Aoua</t>
  </si>
  <si>
    <t>Fés Médina</t>
  </si>
  <si>
    <t>Tighassaline</t>
  </si>
  <si>
    <t>Daraâ-Tafilalet</t>
  </si>
  <si>
    <t>Aghbalou</t>
  </si>
  <si>
    <t>Aghbal</t>
  </si>
  <si>
    <t>Bni Oukil</t>
  </si>
  <si>
    <t>El Hammam</t>
  </si>
  <si>
    <t>Aghbalou Aqorar</t>
  </si>
  <si>
    <t>Lamrija</t>
  </si>
  <si>
    <t>Ain Leuh</t>
  </si>
  <si>
    <t>Moulay Idriss Zarhoun</t>
  </si>
  <si>
    <t>Sidi Hajjaj Oued Hassar</t>
  </si>
  <si>
    <t>Khmis Bni Chegdale</t>
  </si>
  <si>
    <t>Koudiat Bni Dghough</t>
  </si>
  <si>
    <t>Oued Jemaa</t>
  </si>
  <si>
    <t>Ait Naamane</t>
  </si>
  <si>
    <t>Oulad Mimoun</t>
  </si>
  <si>
    <t>Beni Boufrah</t>
  </si>
  <si>
    <t>Timahdite</t>
  </si>
  <si>
    <t>Bni Faghloum</t>
  </si>
  <si>
    <t>Chefchaouen</t>
  </si>
  <si>
    <t>Ait Boubidmane</t>
  </si>
  <si>
    <t>Zegzel</t>
  </si>
  <si>
    <t>Marrakech-Safi</t>
  </si>
  <si>
    <t>Oued L'Bour</t>
  </si>
  <si>
    <t>Oujda</t>
  </si>
  <si>
    <t>Sidi Moussa Lamhaya</t>
  </si>
  <si>
    <t>Bni Snous</t>
  </si>
  <si>
    <t>Mezraoua</t>
  </si>
  <si>
    <t>Tétouan</t>
  </si>
  <si>
    <t>Sidi Yacoub</t>
  </si>
  <si>
    <t>Bouznika</t>
  </si>
  <si>
    <t>Bougriba</t>
  </si>
  <si>
    <t>Souk L'Qolla</t>
  </si>
  <si>
    <t>Sebaa Rouadi</t>
  </si>
  <si>
    <t>Sidi Hajjaj</t>
  </si>
  <si>
    <t>Oulad Yahya Louta</t>
  </si>
  <si>
    <t>Aïn Bida</t>
  </si>
  <si>
    <t>Rabat-Salé-Kénitra</t>
  </si>
  <si>
    <t>El Kansera</t>
  </si>
  <si>
    <t>Ain Bou Ali</t>
  </si>
  <si>
    <t>Souss-Massa</t>
  </si>
  <si>
    <t>Igoudar Mnabha</t>
  </si>
  <si>
    <t>Oulad Zarrad</t>
  </si>
  <si>
    <t>Louadaine</t>
  </si>
  <si>
    <t>Sidi Yahya Zaer</t>
  </si>
  <si>
    <t>Ait Sebaa Lajrouf</t>
  </si>
  <si>
    <t>Ouled Teima</t>
  </si>
  <si>
    <t>Ait Saadelli</t>
  </si>
  <si>
    <t>El Borj</t>
  </si>
  <si>
    <t>Ain Lehjer</t>
  </si>
  <si>
    <t>Oued Ifrane</t>
  </si>
  <si>
    <t>Ain Karma- Oued Rommane</t>
  </si>
  <si>
    <t>Rghioua</t>
  </si>
  <si>
    <t>Lamzoudia</t>
  </si>
  <si>
    <t>Tigrigra</t>
  </si>
  <si>
    <t>Oulad Boughadi</t>
  </si>
  <si>
    <t>Boumaiz</t>
  </si>
  <si>
    <t>Ain Attig</t>
  </si>
  <si>
    <t>Moualine El Oued</t>
  </si>
  <si>
    <t>Laanoussar</t>
  </si>
  <si>
    <t>Labrikiyne</t>
  </si>
  <si>
    <t>Laaounate</t>
  </si>
  <si>
    <t>Bni Khaled</t>
  </si>
  <si>
    <t>Guenfouda</t>
  </si>
  <si>
    <t>Ain Sfa</t>
  </si>
  <si>
    <t>Ouad Essafa</t>
  </si>
  <si>
    <t>Sidi Bibi</t>
  </si>
  <si>
    <t>Bni Ykhlef</t>
  </si>
  <si>
    <t>Lagnadiz</t>
  </si>
  <si>
    <t>Oulad Abdoune</t>
  </si>
  <si>
    <t>Kandar Sidi Khiar</t>
  </si>
  <si>
    <t>Zouada</t>
  </si>
  <si>
    <t>Issaguen</t>
  </si>
  <si>
    <t>Fkih Ben Salah</t>
  </si>
  <si>
    <t>Krifate</t>
  </si>
  <si>
    <t>Brachoua</t>
  </si>
  <si>
    <t>Jaafra</t>
  </si>
  <si>
    <t>Arazene</t>
  </si>
  <si>
    <t>Majjate</t>
  </si>
  <si>
    <t>Guisser</t>
  </si>
  <si>
    <t>Almis Marmoucha</t>
  </si>
  <si>
    <t>Ouizeght</t>
  </si>
  <si>
    <t>Outat El Haj</t>
  </si>
  <si>
    <t>Had Bouhssoussen</t>
  </si>
  <si>
    <t>Oulad Hassoune Hamri</t>
  </si>
  <si>
    <t>El Borouj</t>
  </si>
  <si>
    <t>Ahl Angad</t>
  </si>
  <si>
    <t>Sidi Boutayeb</t>
  </si>
  <si>
    <t>Sidi Yahya ou Youssef</t>
  </si>
  <si>
    <t>Bni Ayat</t>
  </si>
  <si>
    <t>Tanourdi</t>
  </si>
  <si>
    <t>Saidate</t>
  </si>
  <si>
    <t>Sidi Hcine</t>
  </si>
  <si>
    <t>Sidi Boulenouar</t>
  </si>
  <si>
    <t>Sidi Mohamed Lahmar</t>
  </si>
  <si>
    <t>Benguerir</t>
  </si>
  <si>
    <t>Lalla Mimouna</t>
  </si>
  <si>
    <t>Lamjaara</t>
  </si>
  <si>
    <t>Zaggota</t>
  </si>
  <si>
    <t>Ait Ikkou</t>
  </si>
  <si>
    <t>Sidi Bernoussi</t>
  </si>
  <si>
    <t>Taouloukoult</t>
  </si>
  <si>
    <t>Madagh</t>
  </si>
  <si>
    <t>Lambarkiyine</t>
  </si>
  <si>
    <t>Enjil</t>
  </si>
  <si>
    <t>Oum Rabia</t>
  </si>
  <si>
    <t>M'Nabha</t>
  </si>
  <si>
    <t>Zrarda</t>
  </si>
  <si>
    <t>Arbaoua</t>
  </si>
  <si>
    <t>Maaziz</t>
  </si>
  <si>
    <t>Sidi Amar</t>
  </si>
  <si>
    <t>Agdal Riyad</t>
  </si>
  <si>
    <t>Oulad M'Barek</t>
  </si>
  <si>
    <t>Oulad Ayyad</t>
  </si>
  <si>
    <t>Row Labels</t>
  </si>
  <si>
    <t>(blank)</t>
  </si>
  <si>
    <t>Grand Total</t>
  </si>
  <si>
    <t>Sum of Susceptible</t>
  </si>
  <si>
    <t>Sum of Cases</t>
  </si>
  <si>
    <t>Fract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</si>
</sst>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l Nhili" refreshedDate="46013.731382986109" createdVersion="8" refreshedVersion="8" minRefreshableVersion="3" recordCount="224" xr:uid="{6044F12B-C6C5-463F-B94E-BAA836F0659F}">
  <cacheSource type="worksheet">
    <worksheetSource ref="A1:F1048576" sheet="Sheet1"/>
  </cacheSource>
  <cacheFields count="6">
    <cacheField name="Start Date" numFmtId="0">
      <sharedItems containsNonDate="0" containsDate="1" containsString="0" containsBlank="1" minDate="2008-06-12T00:00:00" maxDate="2008-10-23T00:00:00"/>
    </cacheField>
    <cacheField name="REGION" numFmtId="0">
      <sharedItems containsBlank="1" count="10">
        <s v="Fés-Meknès"/>
        <s v="Casablanca-Settat"/>
        <s v="Tanger-Tétouan-Al Hoceima"/>
        <s v="Oriental"/>
        <s v="Béni Mellal-Khénifra"/>
        <s v="Daraâ-Tafilalet"/>
        <s v="Marrakech-Safi"/>
        <s v="Rabat-Salé-Kénitra"/>
        <s v="Souss-Massa"/>
        <m/>
      </sharedItems>
    </cacheField>
    <cacheField name="COMMUNE" numFmtId="0">
      <sharedItems containsBlank="1"/>
    </cacheField>
    <cacheField name="Susceptible" numFmtId="0">
      <sharedItems containsString="0" containsBlank="1" containsNumber="1" containsInteger="1" minValue="2" maxValue="4000"/>
    </cacheField>
    <cacheField name="Cases" numFmtId="0">
      <sharedItems containsString="0" containsBlank="1" containsNumber="1" containsInteger="1" minValue="0" maxValue="436"/>
    </cacheField>
    <cacheField name="Deaths" numFmtId="0">
      <sharedItems containsString="0" containsBlank="1" containsNumber="1" containsInteger="1" minValue="0" maxValue="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d v="2008-06-12T00:00:00"/>
    <x v="0"/>
    <s v="Ain Chkef"/>
    <n v="40"/>
    <n v="40"/>
    <n v="6"/>
  </r>
  <r>
    <d v="2008-06-26T00:00:00"/>
    <x v="1"/>
    <s v="Sidi Bettache"/>
    <n v="500"/>
    <n v="32"/>
    <n v="16"/>
  </r>
  <r>
    <d v="2008-06-30T00:00:00"/>
    <x v="2"/>
    <s v="Moulay Ahmed Cherif"/>
    <n v="439"/>
    <n v="150"/>
    <n v="50"/>
  </r>
  <r>
    <d v="2008-06-30T00:00:00"/>
    <x v="0"/>
    <s v="Ouislane"/>
    <n v="360"/>
    <n v="177"/>
    <n v="13"/>
  </r>
  <r>
    <d v="2008-06-30T00:00:00"/>
    <x v="0"/>
    <s v="Ain Kansra"/>
    <n v="470"/>
    <n v="18"/>
    <n v="8"/>
  </r>
  <r>
    <d v="2008-07-02T00:00:00"/>
    <x v="2"/>
    <s v="Ouazzane"/>
    <n v="240"/>
    <n v="23"/>
    <n v="11"/>
  </r>
  <r>
    <d v="2008-07-03T00:00:00"/>
    <x v="0"/>
    <s v="Ain Kansra"/>
    <n v="124"/>
    <n v="8"/>
    <n v="5"/>
  </r>
  <r>
    <d v="2008-07-10T00:00:00"/>
    <x v="1"/>
    <s v="Sahel Oulad H'Riz"/>
    <n v="260"/>
    <n v="34"/>
    <n v="4"/>
  </r>
  <r>
    <d v="2008-07-10T00:00:00"/>
    <x v="3"/>
    <s v="Houara Oulad Raho"/>
    <n v="70"/>
    <n v="10"/>
    <n v="5"/>
  </r>
  <r>
    <d v="2008-07-10T00:00:00"/>
    <x v="0"/>
    <s v="Matmata"/>
    <n v="15"/>
    <n v="6"/>
    <n v="1"/>
  </r>
  <r>
    <d v="2008-07-12T00:00:00"/>
    <x v="1"/>
    <s v="Had Soualem"/>
    <n v="94"/>
    <n v="60"/>
    <n v="5"/>
  </r>
  <r>
    <d v="2008-07-12T00:00:00"/>
    <x v="3"/>
    <s v="Houara Oulad Raho"/>
    <n v="1050"/>
    <n v="16"/>
    <n v="11"/>
  </r>
  <r>
    <d v="2008-07-14T00:00:00"/>
    <x v="0"/>
    <s v="Ben Smim"/>
    <n v="100"/>
    <n v="27"/>
    <n v="4"/>
  </r>
  <r>
    <d v="2008-07-14T00:00:00"/>
    <x v="0"/>
    <s v="Sidi El Makhfi"/>
    <n v="126"/>
    <n v="9"/>
    <n v="3"/>
  </r>
  <r>
    <d v="2008-07-15T00:00:00"/>
    <x v="2"/>
    <s v="Sidi Boutmim"/>
    <n v="60"/>
    <n v="15"/>
    <n v="5"/>
  </r>
  <r>
    <d v="2008-07-17T00:00:00"/>
    <x v="4"/>
    <s v="Oulad Zmam"/>
    <n v="82"/>
    <n v="16"/>
    <n v="1"/>
  </r>
  <r>
    <d v="2008-07-17T00:00:00"/>
    <x v="4"/>
    <s v="Aguelmouss"/>
    <n v="92"/>
    <n v="13"/>
    <n v="1"/>
  </r>
  <r>
    <d v="2008-07-18T00:00:00"/>
    <x v="0"/>
    <s v="Dayat Aoua"/>
    <n v="65"/>
    <n v="5"/>
    <n v="1"/>
  </r>
  <r>
    <d v="2008-07-19T00:00:00"/>
    <x v="0"/>
    <s v="Fés Médina"/>
    <n v="220"/>
    <n v="9"/>
    <n v="2"/>
  </r>
  <r>
    <d v="2008-07-19T00:00:00"/>
    <x v="4"/>
    <s v="Aguelmouss"/>
    <n v="703"/>
    <n v="131"/>
    <n v="86"/>
  </r>
  <r>
    <d v="2008-07-19T00:00:00"/>
    <x v="4"/>
    <s v="Tighassaline"/>
    <n v="55"/>
    <n v="14"/>
    <n v="0"/>
  </r>
  <r>
    <d v="2008-07-19T00:00:00"/>
    <x v="5"/>
    <s v="Aghbalou"/>
    <n v="28"/>
    <n v="5"/>
    <n v="2"/>
  </r>
  <r>
    <d v="2008-07-20T00:00:00"/>
    <x v="1"/>
    <s v="Sidi Bettache"/>
    <n v="1100"/>
    <n v="75"/>
    <n v="47"/>
  </r>
  <r>
    <d v="2008-07-20T00:00:00"/>
    <x v="3"/>
    <s v="Aghbal"/>
    <n v="60"/>
    <n v="5"/>
    <n v="0"/>
  </r>
  <r>
    <d v="2008-07-20T00:00:00"/>
    <x v="4"/>
    <s v="Bni Oukil"/>
    <n v="115"/>
    <n v="21"/>
    <n v="1"/>
  </r>
  <r>
    <d v="2008-07-20T00:00:00"/>
    <x v="4"/>
    <s v="El Hammam"/>
    <n v="100"/>
    <n v="4"/>
    <n v="4"/>
  </r>
  <r>
    <d v="2008-07-20T00:00:00"/>
    <x v="0"/>
    <s v="Aghbalou Aqorar"/>
    <n v="51"/>
    <n v="10"/>
    <n v="5"/>
  </r>
  <r>
    <d v="2008-07-21T00:00:00"/>
    <x v="3"/>
    <s v="Aghbal"/>
    <n v="153"/>
    <n v="14"/>
    <n v="10"/>
  </r>
  <r>
    <d v="2008-07-21T00:00:00"/>
    <x v="3"/>
    <s v="Lamrija"/>
    <n v="61"/>
    <n v="19"/>
    <n v="7"/>
  </r>
  <r>
    <d v="2008-07-21T00:00:00"/>
    <x v="0"/>
    <s v="Ain Leuh"/>
    <n v="724"/>
    <n v="16"/>
    <n v="5"/>
  </r>
  <r>
    <d v="2008-07-21T00:00:00"/>
    <x v="0"/>
    <s v="Moulay Idriss Zarhoun"/>
    <n v="50"/>
    <n v="2"/>
    <n v="0"/>
  </r>
  <r>
    <d v="2008-07-21T00:00:00"/>
    <x v="5"/>
    <s v="Aghbalou"/>
    <n v="188"/>
    <n v="6"/>
    <n v="0"/>
  </r>
  <r>
    <d v="2008-07-21T00:00:00"/>
    <x v="1"/>
    <s v="Sidi Hajjaj Oued Hassar"/>
    <n v="376"/>
    <n v="73"/>
    <n v="38"/>
  </r>
  <r>
    <d v="2008-07-22T00:00:00"/>
    <x v="1"/>
    <s v="Sidi Bettache"/>
    <n v="800"/>
    <n v="202"/>
    <n v="140"/>
  </r>
  <r>
    <d v="2008-07-22T00:00:00"/>
    <x v="4"/>
    <s v="Khmis Bni Chegdale"/>
    <n v="120"/>
    <n v="22"/>
    <n v="12"/>
  </r>
  <r>
    <d v="2008-07-22T00:00:00"/>
    <x v="5"/>
    <s v="Aghbalou"/>
    <n v="517"/>
    <n v="3"/>
    <n v="0"/>
  </r>
  <r>
    <d v="2008-07-22T00:00:00"/>
    <x v="1"/>
    <s v="Koudiat Bni Dghough"/>
    <n v="208"/>
    <n v="62"/>
    <n v="50"/>
  </r>
  <r>
    <d v="2008-07-22T00:00:00"/>
    <x v="0"/>
    <s v="Oued Jemaa"/>
    <n v="80"/>
    <n v="14"/>
    <n v="0"/>
  </r>
  <r>
    <d v="2008-07-23T00:00:00"/>
    <x v="1"/>
    <s v="Sidi Bettache"/>
    <n v="4000"/>
    <n v="436"/>
    <n v="406"/>
  </r>
  <r>
    <d v="2008-07-23T00:00:00"/>
    <x v="0"/>
    <s v="Ait Naamane"/>
    <n v="53"/>
    <n v="53"/>
    <n v="2"/>
  </r>
  <r>
    <d v="2008-07-23T00:00:00"/>
    <x v="4"/>
    <s v="Aguelmouss"/>
    <n v="45"/>
    <n v="23"/>
    <n v="3"/>
  </r>
  <r>
    <d v="2008-07-24T00:00:00"/>
    <x v="1"/>
    <s v="Sidi Bettache"/>
    <n v="300"/>
    <n v="13"/>
    <n v="7"/>
  </r>
  <r>
    <d v="2008-07-24T00:00:00"/>
    <x v="3"/>
    <s v="Aghbal"/>
    <n v="73"/>
    <n v="13"/>
    <n v="10"/>
  </r>
  <r>
    <d v="2008-07-24T00:00:00"/>
    <x v="0"/>
    <s v="Ben Smim"/>
    <n v="170"/>
    <n v="27"/>
    <n v="2"/>
  </r>
  <r>
    <d v="2008-07-24T00:00:00"/>
    <x v="0"/>
    <s v="Ain Chkef"/>
    <n v="23"/>
    <n v="7"/>
    <n v="0"/>
  </r>
  <r>
    <d v="2008-07-24T00:00:00"/>
    <x v="0"/>
    <s v="Oulad Mimoun"/>
    <n v="27"/>
    <n v="2"/>
    <n v="0"/>
  </r>
  <r>
    <d v="2008-07-25T00:00:00"/>
    <x v="1"/>
    <s v="Sidi Bettache"/>
    <n v="930"/>
    <n v="22"/>
    <n v="15"/>
  </r>
  <r>
    <d v="2008-07-25T00:00:00"/>
    <x v="4"/>
    <s v="Aguelmouss"/>
    <n v="54"/>
    <n v="7"/>
    <n v="0"/>
  </r>
  <r>
    <d v="2008-07-25T00:00:00"/>
    <x v="5"/>
    <s v="Aghbalou"/>
    <n v="355"/>
    <n v="3"/>
    <n v="0"/>
  </r>
  <r>
    <d v="2008-07-25T00:00:00"/>
    <x v="0"/>
    <s v="Ain Kansra"/>
    <n v="69"/>
    <n v="7"/>
    <n v="0"/>
  </r>
  <r>
    <d v="2008-07-25T00:00:00"/>
    <x v="0"/>
    <s v="Aghbalou Aqorar"/>
    <n v="348"/>
    <n v="14"/>
    <n v="4"/>
  </r>
  <r>
    <d v="2008-07-26T00:00:00"/>
    <x v="2"/>
    <s v="Beni Boufrah"/>
    <n v="18"/>
    <n v="5"/>
    <n v="2"/>
  </r>
  <r>
    <d v="2008-07-26T00:00:00"/>
    <x v="1"/>
    <s v="Sidi Bettache"/>
    <n v="500"/>
    <n v="123"/>
    <n v="73"/>
  </r>
  <r>
    <d v="2008-07-26T00:00:00"/>
    <x v="0"/>
    <s v="Timahdite"/>
    <n v="200"/>
    <n v="30"/>
    <n v="3"/>
  </r>
  <r>
    <d v="2008-07-27T00:00:00"/>
    <x v="1"/>
    <s v="Sidi Bettache"/>
    <n v="205"/>
    <n v="3"/>
    <n v="0"/>
  </r>
  <r>
    <d v="2008-07-28T00:00:00"/>
    <x v="1"/>
    <s v="Sidi Bettache"/>
    <n v="710"/>
    <n v="215"/>
    <n v="200"/>
  </r>
  <r>
    <d v="2008-07-28T00:00:00"/>
    <x v="2"/>
    <s v="Bni Faghloum"/>
    <n v="67"/>
    <n v="36"/>
    <n v="17"/>
  </r>
  <r>
    <d v="2008-07-28T00:00:00"/>
    <x v="2"/>
    <s v="Chefchaouen"/>
    <n v="24"/>
    <n v="15"/>
    <n v="13"/>
  </r>
  <r>
    <d v="2008-07-28T00:00:00"/>
    <x v="0"/>
    <s v="Ait Boubidmane"/>
    <n v="44"/>
    <n v="20"/>
    <n v="2"/>
  </r>
  <r>
    <d v="2008-07-29T00:00:00"/>
    <x v="0"/>
    <s v="Timahdite"/>
    <n v="720"/>
    <n v="33"/>
    <n v="7"/>
  </r>
  <r>
    <d v="2008-07-31T00:00:00"/>
    <x v="3"/>
    <s v="Zegzel"/>
    <n v="200"/>
    <n v="20"/>
    <n v="12"/>
  </r>
  <r>
    <d v="2008-07-31T00:00:00"/>
    <x v="6"/>
    <s v="Oued L'Bour"/>
    <n v="115"/>
    <n v="18"/>
    <n v="8"/>
  </r>
  <r>
    <d v="2008-07-31T00:00:00"/>
    <x v="4"/>
    <s v="Oulad Zmam"/>
    <n v="48"/>
    <n v="13"/>
    <n v="3"/>
  </r>
  <r>
    <d v="2008-07-31T00:00:00"/>
    <x v="0"/>
    <s v="Timahdite"/>
    <n v="275"/>
    <n v="17"/>
    <n v="0"/>
  </r>
  <r>
    <d v="2008-07-31T00:00:00"/>
    <x v="5"/>
    <s v="Aghbalou"/>
    <n v="317"/>
    <n v="10"/>
    <n v="1"/>
  </r>
  <r>
    <d v="2008-07-31T00:00:00"/>
    <x v="3"/>
    <s v="Oujda"/>
    <n v="20"/>
    <n v="4"/>
    <n v="0"/>
  </r>
  <r>
    <d v="2008-07-31T00:00:00"/>
    <x v="3"/>
    <s v="Sidi Moussa Lamhaya"/>
    <n v="235"/>
    <n v="6"/>
    <n v="2"/>
  </r>
  <r>
    <d v="2008-07-31T00:00:00"/>
    <x v="0"/>
    <s v="Bni Snous"/>
    <n v="800"/>
    <n v="5"/>
    <n v="0"/>
  </r>
  <r>
    <d v="2008-07-31T00:00:00"/>
    <x v="0"/>
    <s v="Mezraoua"/>
    <n v="210"/>
    <n v="26"/>
    <n v="10"/>
  </r>
  <r>
    <d v="2008-07-31T00:00:00"/>
    <x v="2"/>
    <s v="Tétouan"/>
    <n v="130"/>
    <n v="23"/>
    <n v="8"/>
  </r>
  <r>
    <d v="2008-08-01T00:00:00"/>
    <x v="4"/>
    <s v="Sidi Yacoub"/>
    <n v="52"/>
    <n v="35"/>
    <n v="19"/>
  </r>
  <r>
    <d v="2008-08-01T00:00:00"/>
    <x v="1"/>
    <s v="Bouznika"/>
    <n v="100"/>
    <n v="5"/>
    <n v="2"/>
  </r>
  <r>
    <d v="2008-08-01T00:00:00"/>
    <x v="3"/>
    <s v="Bougriba"/>
    <n v="41"/>
    <n v="10"/>
    <n v="0"/>
  </r>
  <r>
    <d v="2008-08-01T00:00:00"/>
    <x v="0"/>
    <s v="Ait Naamane"/>
    <n v="78"/>
    <n v="17"/>
    <n v="5"/>
  </r>
  <r>
    <d v="2008-08-01T00:00:00"/>
    <x v="4"/>
    <s v="Bni Oukil"/>
    <n v="78"/>
    <n v="22"/>
    <n v="2"/>
  </r>
  <r>
    <d v="2008-08-01T00:00:00"/>
    <x v="0"/>
    <s v="Timahdite"/>
    <n v="506"/>
    <n v="5"/>
    <n v="0"/>
  </r>
  <r>
    <d v="2008-08-01T00:00:00"/>
    <x v="2"/>
    <s v="Souk L'Qolla"/>
    <n v="106"/>
    <n v="8"/>
    <n v="2"/>
  </r>
  <r>
    <d v="2008-08-01T00:00:00"/>
    <x v="5"/>
    <s v="Aghbalou"/>
    <n v="232"/>
    <n v="7"/>
    <n v="2"/>
  </r>
  <r>
    <d v="2008-08-01T00:00:00"/>
    <x v="0"/>
    <s v="Sebaa Rouadi"/>
    <n v="80"/>
    <n v="14"/>
    <n v="8"/>
  </r>
  <r>
    <d v="2008-08-01T00:00:00"/>
    <x v="1"/>
    <s v="Sidi Hajjaj"/>
    <n v="75"/>
    <n v="3"/>
    <n v="3"/>
  </r>
  <r>
    <d v="2008-08-02T00:00:00"/>
    <x v="4"/>
    <s v="Sidi Yacoub"/>
    <n v="21"/>
    <n v="8"/>
    <n v="5"/>
  </r>
  <r>
    <d v="2008-08-02T00:00:00"/>
    <x v="1"/>
    <s v="Oulad Yahya Louta"/>
    <n v="140"/>
    <n v="29"/>
    <n v="12"/>
  </r>
  <r>
    <d v="2008-08-02T00:00:00"/>
    <x v="1"/>
    <s v="Sidi Bettache"/>
    <n v="500"/>
    <n v="123"/>
    <n v="20"/>
  </r>
  <r>
    <d v="2008-08-02T00:00:00"/>
    <x v="0"/>
    <s v="Ait Naamane"/>
    <n v="11"/>
    <n v="3"/>
    <n v="0"/>
  </r>
  <r>
    <d v="2008-08-02T00:00:00"/>
    <x v="0"/>
    <s v="Aïn Bida"/>
    <n v="60"/>
    <n v="6"/>
    <n v="4"/>
  </r>
  <r>
    <d v="2008-08-02T00:00:00"/>
    <x v="0"/>
    <s v="Ain Leuh"/>
    <n v="148"/>
    <n v="2"/>
    <n v="0"/>
  </r>
  <r>
    <d v="2008-08-02T00:00:00"/>
    <x v="0"/>
    <s v="Sidi El Makhfi"/>
    <n v="20"/>
    <n v="2"/>
    <n v="0"/>
  </r>
  <r>
    <d v="2008-08-02T00:00:00"/>
    <x v="2"/>
    <s v="Souk L'Qolla"/>
    <n v="22"/>
    <n v="3"/>
    <n v="1"/>
  </r>
  <r>
    <d v="2008-08-03T00:00:00"/>
    <x v="4"/>
    <s v="Sidi Yacoub"/>
    <n v="8"/>
    <n v="1"/>
    <n v="0"/>
  </r>
  <r>
    <d v="2008-08-03T00:00:00"/>
    <x v="0"/>
    <s v="Timahdite"/>
    <n v="200"/>
    <n v="30"/>
    <n v="0"/>
  </r>
  <r>
    <d v="2008-08-03T00:00:00"/>
    <x v="7"/>
    <s v="El Kansera"/>
    <n v="49"/>
    <n v="30"/>
    <n v="2"/>
  </r>
  <r>
    <d v="2008-08-03T00:00:00"/>
    <x v="0"/>
    <s v="Ain Bou Ali"/>
    <n v="88"/>
    <n v="19"/>
    <n v="7"/>
  </r>
  <r>
    <d v="2008-08-03T00:00:00"/>
    <x v="8"/>
    <s v="Igoudar Mnabha"/>
    <n v="400"/>
    <n v="170"/>
    <n v="45"/>
  </r>
  <r>
    <d v="2008-08-04T00:00:00"/>
    <x v="6"/>
    <s v="Oulad Zarrad"/>
    <n v="140"/>
    <n v="26"/>
    <n v="20"/>
  </r>
  <r>
    <d v="2008-08-04T00:00:00"/>
    <x v="0"/>
    <s v="Sidi El Makhfi"/>
    <n v="201"/>
    <n v="3"/>
    <n v="0"/>
  </r>
  <r>
    <d v="2008-08-04T00:00:00"/>
    <x v="0"/>
    <s v="Timahdite"/>
    <n v="288"/>
    <n v="26"/>
    <n v="0"/>
  </r>
  <r>
    <d v="2008-08-04T00:00:00"/>
    <x v="4"/>
    <s v="El Hammam"/>
    <n v="91"/>
    <n v="10"/>
    <n v="2"/>
  </r>
  <r>
    <d v="2008-08-04T00:00:00"/>
    <x v="5"/>
    <s v="Aghbalou"/>
    <n v="428"/>
    <n v="3"/>
    <n v="0"/>
  </r>
  <r>
    <d v="2008-08-04T00:00:00"/>
    <x v="0"/>
    <s v="Ain Kansra"/>
    <n v="195"/>
    <n v="9"/>
    <n v="4"/>
  </r>
  <r>
    <d v="2008-08-04T00:00:00"/>
    <x v="0"/>
    <s v="Louadaine"/>
    <n v="60"/>
    <n v="2"/>
    <n v="0"/>
  </r>
  <r>
    <d v="2008-08-04T00:00:00"/>
    <x v="7"/>
    <s v="Sidi Yahya Zaer"/>
    <n v="1000"/>
    <n v="410"/>
    <n v="160"/>
  </r>
  <r>
    <d v="2008-08-04T00:00:00"/>
    <x v="0"/>
    <s v="Ait Sebaa Lajrouf"/>
    <n v="100"/>
    <n v="11"/>
    <n v="7"/>
  </r>
  <r>
    <d v="2008-08-04T00:00:00"/>
    <x v="8"/>
    <s v="Ouled Teima"/>
    <n v="108"/>
    <n v="36"/>
    <n v="14"/>
  </r>
  <r>
    <d v="2008-08-05T00:00:00"/>
    <x v="4"/>
    <s v="Ait Saadelli"/>
    <n v="417"/>
    <n v="13"/>
    <n v="2"/>
  </r>
  <r>
    <d v="2008-08-05T00:00:00"/>
    <x v="4"/>
    <s v="El Borj"/>
    <n v="40"/>
    <n v="17"/>
    <n v="6"/>
  </r>
  <r>
    <d v="2008-08-05T00:00:00"/>
    <x v="0"/>
    <s v="Louadaine"/>
    <n v="45"/>
    <n v="6"/>
    <n v="0"/>
  </r>
  <r>
    <d v="2008-08-05T00:00:00"/>
    <x v="3"/>
    <s v="Ain Lehjer"/>
    <n v="103"/>
    <n v="3"/>
    <n v="3"/>
  </r>
  <r>
    <d v="2008-08-08T00:00:00"/>
    <x v="2"/>
    <s v="Beni Boufrah"/>
    <n v="75"/>
    <n v="23"/>
    <n v="15"/>
  </r>
  <r>
    <d v="2008-08-08T00:00:00"/>
    <x v="4"/>
    <s v="Sidi Yacoub"/>
    <n v="19"/>
    <n v="3"/>
    <n v="3"/>
  </r>
  <r>
    <d v="2008-08-08T00:00:00"/>
    <x v="2"/>
    <s v="Chefchaouen"/>
    <n v="12"/>
    <n v="3"/>
    <n v="0"/>
  </r>
  <r>
    <d v="2008-08-08T00:00:00"/>
    <x v="4"/>
    <s v="Bni Oukil"/>
    <n v="251"/>
    <n v="12"/>
    <n v="6"/>
  </r>
  <r>
    <d v="2008-08-09T00:00:00"/>
    <x v="4"/>
    <s v="Sidi Yacoub"/>
    <n v="17"/>
    <n v="3"/>
    <n v="2"/>
  </r>
  <r>
    <d v="2008-08-09T00:00:00"/>
    <x v="0"/>
    <s v="Oued Ifrane"/>
    <n v="72"/>
    <n v="49"/>
    <n v="42"/>
  </r>
  <r>
    <d v="2008-08-09T00:00:00"/>
    <x v="0"/>
    <s v="Ain Karma- Oued Rommane"/>
    <n v="89"/>
    <n v="4"/>
    <n v="0"/>
  </r>
  <r>
    <d v="2008-08-09T00:00:00"/>
    <x v="7"/>
    <s v="Sidi Yahya Zaer"/>
    <n v="300"/>
    <n v="19"/>
    <n v="14"/>
  </r>
  <r>
    <d v="2008-08-09T00:00:00"/>
    <x v="0"/>
    <s v="Rghioua"/>
    <n v="12"/>
    <n v="4"/>
    <n v="0"/>
  </r>
  <r>
    <d v="2008-08-10T00:00:00"/>
    <x v="6"/>
    <s v="Lamzoudia"/>
    <n v="50"/>
    <n v="13"/>
    <n v="0"/>
  </r>
  <r>
    <d v="2008-08-10T00:00:00"/>
    <x v="0"/>
    <s v="Tigrigra"/>
    <n v="80"/>
    <n v="7"/>
    <n v="4"/>
  </r>
  <r>
    <d v="2008-08-10T00:00:00"/>
    <x v="0"/>
    <s v="Aghbalou Aqorar"/>
    <n v="83"/>
    <n v="15"/>
    <n v="0"/>
  </r>
  <r>
    <d v="2008-08-11T00:00:00"/>
    <x v="0"/>
    <s v="Ben Smim"/>
    <n v="382"/>
    <n v="85"/>
    <n v="50"/>
  </r>
  <r>
    <d v="2008-08-11T00:00:00"/>
    <x v="4"/>
    <s v="Oulad Boughadi"/>
    <n v="71"/>
    <n v="26"/>
    <n v="12"/>
  </r>
  <r>
    <d v="2008-08-11T00:00:00"/>
    <x v="2"/>
    <s v="Souk L'Qolla"/>
    <n v="140"/>
    <n v="33"/>
    <n v="14"/>
  </r>
  <r>
    <d v="2008-08-11T00:00:00"/>
    <x v="7"/>
    <s v="Boumaiz"/>
    <n v="44"/>
    <n v="1"/>
    <n v="0"/>
  </r>
  <r>
    <d v="2008-08-11T00:00:00"/>
    <x v="7"/>
    <s v="Ain Attig"/>
    <n v="195"/>
    <n v="6"/>
    <n v="4"/>
  </r>
  <r>
    <d v="2008-08-13T00:00:00"/>
    <x v="0"/>
    <s v="Ait Sebaa Lajrouf"/>
    <n v="25"/>
    <n v="1"/>
    <n v="0"/>
  </r>
  <r>
    <d v="2008-08-15T00:00:00"/>
    <x v="1"/>
    <s v="Moualine El Oued"/>
    <n v="500"/>
    <n v="50"/>
    <n v="19"/>
  </r>
  <r>
    <d v="2008-08-15T00:00:00"/>
    <x v="0"/>
    <s v="Laanoussar"/>
    <n v="203"/>
    <n v="35"/>
    <n v="30"/>
  </r>
  <r>
    <d v="2008-08-16T00:00:00"/>
    <x v="6"/>
    <s v="Labrikiyne"/>
    <n v="140"/>
    <n v="40"/>
    <n v="25"/>
  </r>
  <r>
    <d v="2008-08-16T00:00:00"/>
    <x v="1"/>
    <s v="Laaounate"/>
    <n v="125"/>
    <n v="11"/>
    <n v="7"/>
  </r>
  <r>
    <d v="2008-08-16T00:00:00"/>
    <x v="0"/>
    <s v="Laanoussar"/>
    <n v="375"/>
    <n v="46"/>
    <n v="16"/>
  </r>
  <r>
    <d v="2008-08-17T00:00:00"/>
    <x v="4"/>
    <s v="Aguelmouss"/>
    <n v="150"/>
    <n v="8"/>
    <n v="7"/>
  </r>
  <r>
    <d v="2008-08-17T00:00:00"/>
    <x v="4"/>
    <s v="Ait Saadelli"/>
    <n v="270"/>
    <n v="7"/>
    <n v="2"/>
  </r>
  <r>
    <d v="2008-08-17T00:00:00"/>
    <x v="3"/>
    <s v="Bni Khaled"/>
    <n v="116"/>
    <n v="19"/>
    <n v="12"/>
  </r>
  <r>
    <d v="2008-08-17T00:00:00"/>
    <x v="7"/>
    <s v="Ain Attig"/>
    <n v="317"/>
    <n v="63"/>
    <n v="39"/>
  </r>
  <r>
    <d v="2008-08-18T00:00:00"/>
    <x v="3"/>
    <s v="Guenfouda"/>
    <n v="25"/>
    <n v="1"/>
    <n v="1"/>
  </r>
  <r>
    <d v="2008-08-18T00:00:00"/>
    <x v="4"/>
    <s v="Aguelmouss"/>
    <n v="168"/>
    <n v="42"/>
    <n v="21"/>
  </r>
  <r>
    <d v="2008-08-18T00:00:00"/>
    <x v="3"/>
    <s v="Ain Sfa"/>
    <n v="145"/>
    <n v="1"/>
    <n v="0"/>
  </r>
  <r>
    <d v="2008-08-18T00:00:00"/>
    <x v="3"/>
    <s v="Sidi Moussa Lamhaya"/>
    <n v="245"/>
    <n v="6"/>
    <n v="0"/>
  </r>
  <r>
    <d v="2008-08-19T00:00:00"/>
    <x v="8"/>
    <s v="Ouad Essafa"/>
    <n v="96"/>
    <n v="35"/>
    <n v="12"/>
  </r>
  <r>
    <d v="2008-08-19T00:00:00"/>
    <x v="8"/>
    <s v="Sidi Bibi"/>
    <n v="142"/>
    <n v="21"/>
    <n v="18"/>
  </r>
  <r>
    <d v="2008-08-19T00:00:00"/>
    <x v="4"/>
    <s v="Bni Ykhlef"/>
    <n v="9"/>
    <n v="1"/>
    <n v="0"/>
  </r>
  <r>
    <d v="2008-08-19T00:00:00"/>
    <x v="4"/>
    <s v="Lagnadiz"/>
    <n v="395"/>
    <n v="101"/>
    <n v="50"/>
  </r>
  <r>
    <d v="2008-08-19T00:00:00"/>
    <x v="4"/>
    <s v="Oulad Abdoune"/>
    <n v="220"/>
    <n v="2"/>
    <n v="0"/>
  </r>
  <r>
    <d v="2008-08-19T00:00:00"/>
    <x v="4"/>
    <s v="Aguelmouss"/>
    <n v="125"/>
    <n v="18"/>
    <n v="7"/>
  </r>
  <r>
    <d v="2008-08-19T00:00:00"/>
    <x v="0"/>
    <s v="Kandar Sidi Khiar"/>
    <n v="64"/>
    <n v="15"/>
    <n v="7"/>
  </r>
  <r>
    <d v="2008-08-21T00:00:00"/>
    <x v="4"/>
    <s v="Aguelmouss"/>
    <n v="235"/>
    <n v="15"/>
    <n v="15"/>
  </r>
  <r>
    <d v="2008-08-22T00:00:00"/>
    <x v="4"/>
    <s v="El Hammam"/>
    <n v="58"/>
    <n v="2"/>
    <n v="2"/>
  </r>
  <r>
    <d v="2008-08-22T00:00:00"/>
    <x v="5"/>
    <s v="Aghbalou"/>
    <n v="124"/>
    <n v="7"/>
    <n v="2"/>
  </r>
  <r>
    <d v="2008-08-23T00:00:00"/>
    <x v="2"/>
    <s v="Zouada"/>
    <n v="205"/>
    <n v="44"/>
    <n v="14"/>
  </r>
  <r>
    <d v="2008-08-25T00:00:00"/>
    <x v="2"/>
    <s v="Issaguen"/>
    <n v="22"/>
    <n v="6"/>
    <n v="5"/>
  </r>
  <r>
    <d v="2008-08-25T00:00:00"/>
    <x v="4"/>
    <s v="Fkih Ben Salah"/>
    <n v="58"/>
    <n v="5"/>
    <n v="0"/>
  </r>
  <r>
    <d v="2008-08-25T00:00:00"/>
    <x v="4"/>
    <s v="Krifate"/>
    <n v="213"/>
    <n v="12"/>
    <n v="7"/>
  </r>
  <r>
    <d v="2008-08-25T00:00:00"/>
    <x v="4"/>
    <s v="Oulad Zmam"/>
    <n v="54"/>
    <n v="5"/>
    <n v="2"/>
  </r>
  <r>
    <d v="2008-08-25T00:00:00"/>
    <x v="7"/>
    <s v="Brachoua"/>
    <n v="303"/>
    <n v="47"/>
    <n v="3"/>
  </r>
  <r>
    <d v="2008-08-25T00:00:00"/>
    <x v="6"/>
    <s v="Jaafra"/>
    <n v="205"/>
    <n v="47"/>
    <n v="45"/>
  </r>
  <r>
    <d v="2008-08-25T00:00:00"/>
    <x v="8"/>
    <s v="Arazene"/>
    <n v="30"/>
    <n v="3"/>
    <n v="0"/>
  </r>
  <r>
    <d v="2008-08-26T00:00:00"/>
    <x v="4"/>
    <s v="El Hammam"/>
    <n v="257"/>
    <n v="13"/>
    <n v="5"/>
  </r>
  <r>
    <d v="2008-08-26T00:00:00"/>
    <x v="0"/>
    <s v="Majjate"/>
    <n v="66"/>
    <n v="10"/>
    <n v="7"/>
  </r>
  <r>
    <d v="2008-08-27T00:00:00"/>
    <x v="2"/>
    <s v="Issaguen"/>
    <n v="20"/>
    <n v="2"/>
    <n v="2"/>
  </r>
  <r>
    <d v="2008-08-27T00:00:00"/>
    <x v="3"/>
    <s v="Aghbal"/>
    <n v="302"/>
    <n v="14"/>
    <n v="2"/>
  </r>
  <r>
    <d v="2008-08-27T00:00:00"/>
    <x v="4"/>
    <s v="Aguelmouss"/>
    <n v="2"/>
    <n v="0"/>
    <n v="0"/>
  </r>
  <r>
    <d v="2008-08-28T00:00:00"/>
    <x v="2"/>
    <s v="Issaguen"/>
    <n v="53"/>
    <n v="16"/>
    <n v="11"/>
  </r>
  <r>
    <d v="2008-08-28T00:00:00"/>
    <x v="4"/>
    <s v="Aguelmouss"/>
    <n v="111"/>
    <n v="50"/>
    <n v="25"/>
  </r>
  <r>
    <d v="2008-08-28T00:00:00"/>
    <x v="1"/>
    <s v="Guisser"/>
    <n v="281"/>
    <n v="2"/>
    <n v="0"/>
  </r>
  <r>
    <d v="2008-08-29T00:00:00"/>
    <x v="2"/>
    <s v="Issaguen"/>
    <n v="42"/>
    <n v="8"/>
    <n v="4"/>
  </r>
  <r>
    <d v="2008-08-29T00:00:00"/>
    <x v="4"/>
    <s v="Aguelmouss"/>
    <n v="125"/>
    <n v="20"/>
    <n v="10"/>
  </r>
  <r>
    <d v="2008-08-29T00:00:00"/>
    <x v="3"/>
    <s v="Ain Lehjer"/>
    <n v="122"/>
    <n v="5"/>
    <n v="4"/>
  </r>
  <r>
    <d v="2008-08-30T00:00:00"/>
    <x v="2"/>
    <s v="Issaguen"/>
    <n v="16"/>
    <n v="4"/>
    <n v="2"/>
  </r>
  <r>
    <d v="2008-08-30T00:00:00"/>
    <x v="0"/>
    <s v="Almis Marmoucha"/>
    <n v="71"/>
    <n v="1"/>
    <n v="0"/>
  </r>
  <r>
    <d v="2008-08-30T00:00:00"/>
    <x v="0"/>
    <s v="Ouizeght"/>
    <n v="150"/>
    <n v="55"/>
    <n v="6"/>
  </r>
  <r>
    <d v="2008-08-30T00:00:00"/>
    <x v="0"/>
    <s v="Outat El Haj"/>
    <n v="27"/>
    <n v="2"/>
    <n v="0"/>
  </r>
  <r>
    <d v="2008-08-30T00:00:00"/>
    <x v="4"/>
    <s v="El Borj"/>
    <n v="169"/>
    <n v="4"/>
    <n v="0"/>
  </r>
  <r>
    <d v="2008-08-30T00:00:00"/>
    <x v="4"/>
    <s v="Had Bouhssoussen"/>
    <n v="62"/>
    <n v="2"/>
    <n v="1"/>
  </r>
  <r>
    <d v="2008-08-31T00:00:00"/>
    <x v="4"/>
    <s v="El Borj"/>
    <n v="1120"/>
    <n v="10"/>
    <n v="1"/>
  </r>
  <r>
    <d v="2008-09-01T00:00:00"/>
    <x v="3"/>
    <s v="Bougriba"/>
    <n v="61"/>
    <n v="19"/>
    <n v="16"/>
  </r>
  <r>
    <d v="2008-09-01T00:00:00"/>
    <x v="4"/>
    <s v="Khmis Bni Chegdale"/>
    <n v="1492"/>
    <n v="14"/>
    <n v="0"/>
  </r>
  <r>
    <d v="2008-09-01T00:00:00"/>
    <x v="4"/>
    <s v="Aguelmouss"/>
    <n v="80"/>
    <n v="4"/>
    <n v="2"/>
  </r>
  <r>
    <d v="2008-09-01T00:00:00"/>
    <x v="5"/>
    <s v="Aghbalou"/>
    <n v="240"/>
    <n v="6"/>
    <n v="2"/>
  </r>
  <r>
    <d v="2008-09-01T00:00:00"/>
    <x v="6"/>
    <s v="Oulad Hassoune Hamri"/>
    <n v="200"/>
    <n v="41"/>
    <n v="36"/>
  </r>
  <r>
    <d v="2008-09-01T00:00:00"/>
    <x v="1"/>
    <s v="El Borouj"/>
    <n v="50"/>
    <n v="1"/>
    <n v="0"/>
  </r>
  <r>
    <d v="2008-09-02T00:00:00"/>
    <x v="3"/>
    <s v="Guenfouda"/>
    <n v="17"/>
    <n v="2"/>
    <n v="1"/>
  </r>
  <r>
    <d v="2008-09-02T00:00:00"/>
    <x v="5"/>
    <s v="Aghbalou"/>
    <n v="306"/>
    <n v="7"/>
    <n v="1"/>
  </r>
  <r>
    <d v="2008-09-02T00:00:00"/>
    <x v="3"/>
    <s v="Ahl Angad"/>
    <n v="189"/>
    <n v="1"/>
    <n v="0"/>
  </r>
  <r>
    <d v="2008-09-03T00:00:00"/>
    <x v="0"/>
    <s v="Sidi Boutayeb"/>
    <n v="73"/>
    <n v="5"/>
    <n v="0"/>
  </r>
  <r>
    <d v="2008-09-03T00:00:00"/>
    <x v="5"/>
    <s v="Sidi Yahya ou Youssef"/>
    <n v="82"/>
    <n v="17"/>
    <n v="6"/>
  </r>
  <r>
    <d v="2008-09-04T00:00:00"/>
    <x v="4"/>
    <s v="Bni Ayat"/>
    <n v="44"/>
    <n v="8"/>
    <n v="6"/>
  </r>
  <r>
    <d v="2008-09-04T00:00:00"/>
    <x v="5"/>
    <s v="Tanourdi"/>
    <n v="128"/>
    <n v="16"/>
    <n v="5"/>
  </r>
  <r>
    <d v="2008-09-05T00:00:00"/>
    <x v="6"/>
    <s v="Saidate"/>
    <n v="227"/>
    <n v="51"/>
    <n v="0"/>
  </r>
  <r>
    <d v="2008-09-05T00:00:00"/>
    <x v="4"/>
    <s v="Aguelmouss"/>
    <n v="144"/>
    <n v="17"/>
    <n v="10"/>
  </r>
  <r>
    <d v="2008-09-05T00:00:00"/>
    <x v="4"/>
    <s v="Sidi Hcine"/>
    <n v="140"/>
    <n v="37"/>
    <n v="15"/>
  </r>
  <r>
    <d v="2008-09-05T00:00:00"/>
    <x v="2"/>
    <s v="Souk L'Qolla"/>
    <n v="71"/>
    <n v="33"/>
    <n v="14"/>
  </r>
  <r>
    <d v="2008-09-05T00:00:00"/>
    <x v="3"/>
    <s v="Sidi Boulenouar"/>
    <n v="386"/>
    <n v="17"/>
    <n v="13"/>
  </r>
  <r>
    <d v="2008-09-05T00:00:00"/>
    <x v="3"/>
    <s v="Sidi Moussa Lamhaya"/>
    <n v="473"/>
    <n v="6"/>
    <n v="0"/>
  </r>
  <r>
    <d v="2008-09-07T00:00:00"/>
    <x v="3"/>
    <s v="Houara Oulad Raho"/>
    <n v="215"/>
    <n v="13"/>
    <n v="1"/>
  </r>
  <r>
    <d v="2008-09-07T00:00:00"/>
    <x v="7"/>
    <s v="Sidi Mohamed Lahmar"/>
    <n v="70"/>
    <n v="4"/>
    <n v="0"/>
  </r>
  <r>
    <d v="2008-09-07T00:00:00"/>
    <x v="6"/>
    <s v="Benguerir"/>
    <n v="69"/>
    <n v="13"/>
    <n v="7"/>
  </r>
  <r>
    <d v="2008-09-08T00:00:00"/>
    <x v="7"/>
    <s v="Lalla Mimouna"/>
    <n v="248"/>
    <n v="8"/>
    <n v="6"/>
  </r>
  <r>
    <d v="2008-09-08T00:00:00"/>
    <x v="2"/>
    <s v="Lamjaara"/>
    <n v="14"/>
    <n v="3"/>
    <n v="0"/>
  </r>
  <r>
    <d v="2008-09-08T00:00:00"/>
    <x v="7"/>
    <s v="Zaggota"/>
    <n v="215"/>
    <n v="1"/>
    <n v="0"/>
  </r>
  <r>
    <d v="2008-09-09T00:00:00"/>
    <x v="7"/>
    <s v="Ait Ikkou"/>
    <n v="260"/>
    <n v="12"/>
    <n v="2"/>
  </r>
  <r>
    <d v="2008-09-10T00:00:00"/>
    <x v="1"/>
    <s v="Sidi Bernoussi"/>
    <n v="14"/>
    <n v="1"/>
    <n v="1"/>
  </r>
  <r>
    <d v="2008-09-10T00:00:00"/>
    <x v="6"/>
    <s v="Taouloukoult"/>
    <n v="118"/>
    <n v="19"/>
    <n v="6"/>
  </r>
  <r>
    <d v="2008-09-10T00:00:00"/>
    <x v="0"/>
    <s v="Aghbalou Aqorar"/>
    <n v="27"/>
    <n v="12"/>
    <n v="0"/>
  </r>
  <r>
    <d v="2008-09-15T00:00:00"/>
    <x v="3"/>
    <s v="Madagh"/>
    <n v="170"/>
    <n v="8"/>
    <n v="2"/>
  </r>
  <r>
    <d v="2008-09-17T00:00:00"/>
    <x v="1"/>
    <s v="Lambarkiyine"/>
    <n v="162"/>
    <n v="10"/>
    <n v="8"/>
  </r>
  <r>
    <d v="2008-09-20T00:00:00"/>
    <x v="0"/>
    <s v="Enjil"/>
    <n v="60"/>
    <n v="2"/>
    <n v="0"/>
  </r>
  <r>
    <d v="2008-09-20T00:00:00"/>
    <x v="4"/>
    <s v="Oum Rabia"/>
    <n v="25"/>
    <n v="7"/>
    <n v="1"/>
  </r>
  <r>
    <d v="2008-09-20T00:00:00"/>
    <x v="4"/>
    <s v="Tighassaline"/>
    <n v="62"/>
    <n v="4"/>
    <n v="0"/>
  </r>
  <r>
    <d v="2008-09-22T00:00:00"/>
    <x v="6"/>
    <s v="M'Nabha"/>
    <n v="850"/>
    <n v="30"/>
    <n v="30"/>
  </r>
  <r>
    <d v="2008-09-22T00:00:00"/>
    <x v="0"/>
    <s v="Zrarda"/>
    <n v="256"/>
    <n v="8"/>
    <n v="3"/>
  </r>
  <r>
    <d v="2008-09-24T00:00:00"/>
    <x v="7"/>
    <s v="Arbaoua"/>
    <n v="59"/>
    <n v="3"/>
    <n v="2"/>
  </r>
  <r>
    <d v="2008-09-27T00:00:00"/>
    <x v="7"/>
    <s v="Maaziz"/>
    <n v="66"/>
    <n v="9"/>
    <n v="3"/>
  </r>
  <r>
    <d v="2008-10-01T00:00:00"/>
    <x v="4"/>
    <s v="Sidi Amar"/>
    <n v="23"/>
    <n v="2"/>
    <n v="0"/>
  </r>
  <r>
    <d v="2008-10-01T00:00:00"/>
    <x v="7"/>
    <s v="Agdal Riyad"/>
    <n v="18"/>
    <n v="7"/>
    <n v="1"/>
  </r>
  <r>
    <d v="2008-10-02T00:00:00"/>
    <x v="4"/>
    <s v="Bni Oukil"/>
    <n v="120"/>
    <n v="1"/>
    <n v="0"/>
  </r>
  <r>
    <d v="2008-10-03T00:00:00"/>
    <x v="4"/>
    <s v="Oulad M'Barek"/>
    <n v="4"/>
    <n v="1"/>
    <n v="0"/>
  </r>
  <r>
    <d v="2008-10-05T00:00:00"/>
    <x v="0"/>
    <s v="Sidi Boutayeb"/>
    <n v="239"/>
    <n v="48"/>
    <n v="27"/>
  </r>
  <r>
    <d v="2008-10-05T00:00:00"/>
    <x v="4"/>
    <s v="Bni Oukil"/>
    <n v="220"/>
    <n v="14"/>
    <n v="6"/>
  </r>
  <r>
    <d v="2008-10-07T00:00:00"/>
    <x v="4"/>
    <s v="Bni Oukil"/>
    <n v="400"/>
    <n v="2"/>
    <n v="0"/>
  </r>
  <r>
    <d v="2008-10-10T00:00:00"/>
    <x v="4"/>
    <s v="Bni Oukil"/>
    <n v="170"/>
    <n v="4"/>
    <n v="3"/>
  </r>
  <r>
    <d v="2008-10-13T00:00:00"/>
    <x v="0"/>
    <s v="Oulad Ayyad"/>
    <n v="124"/>
    <n v="8"/>
    <n v="0"/>
  </r>
  <r>
    <d v="2008-10-15T00:00:00"/>
    <x v="4"/>
    <s v="Krifate"/>
    <n v="314"/>
    <n v="1"/>
    <n v="1"/>
  </r>
  <r>
    <d v="2008-10-22T00:00:00"/>
    <x v="0"/>
    <s v="Sidi Boutayeb"/>
    <n v="423"/>
    <n v="70"/>
    <n v="18"/>
  </r>
  <r>
    <m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A1E7B-101E-4EAC-B63B-CCF3EA4B1E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6">
    <pivotField showAll="0"/>
    <pivotField axis="axisRow" showAll="0">
      <items count="11">
        <item x="4"/>
        <item x="1"/>
        <item x="5"/>
        <item x="0"/>
        <item x="6"/>
        <item x="3"/>
        <item x="7"/>
        <item x="8"/>
        <item x="2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sceptible" fld="3" baseField="0" baseItem="0"/>
    <dataField name="Sum of Cas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abSelected="1" workbookViewId="0">
      <selection activeCell="H145" sqref="H145"/>
    </sheetView>
  </sheetViews>
  <sheetFormatPr defaultRowHeight="14.4" x14ac:dyDescent="0.3"/>
  <cols>
    <col min="1" max="1" width="18.109375" bestFit="1" customWidth="1"/>
    <col min="2" max="2" width="24.21875" bestFit="1" customWidth="1"/>
    <col min="3" max="3" width="23.77734375" bestFit="1" customWidth="1"/>
    <col min="4" max="4" width="16.44140625" customWidth="1"/>
    <col min="5" max="5" width="5.6640625" bestFit="1" customWidth="1"/>
    <col min="6" max="6" width="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39611</v>
      </c>
      <c r="B2" t="s">
        <v>6</v>
      </c>
      <c r="C2" t="s">
        <v>7</v>
      </c>
      <c r="D2">
        <v>40</v>
      </c>
      <c r="E2">
        <v>40</v>
      </c>
      <c r="F2">
        <v>6</v>
      </c>
    </row>
    <row r="3" spans="1:6" x14ac:dyDescent="0.3">
      <c r="A3" s="2">
        <v>39625</v>
      </c>
      <c r="B3" t="s">
        <v>8</v>
      </c>
      <c r="C3" t="s">
        <v>9</v>
      </c>
      <c r="D3">
        <v>500</v>
      </c>
      <c r="E3">
        <v>32</v>
      </c>
      <c r="F3">
        <v>16</v>
      </c>
    </row>
    <row r="4" spans="1:6" x14ac:dyDescent="0.3">
      <c r="A4" s="2">
        <v>39629</v>
      </c>
      <c r="B4" t="s">
        <v>10</v>
      </c>
      <c r="C4" t="s">
        <v>11</v>
      </c>
      <c r="D4">
        <v>439</v>
      </c>
      <c r="E4">
        <v>150</v>
      </c>
      <c r="F4">
        <v>50</v>
      </c>
    </row>
    <row r="5" spans="1:6" x14ac:dyDescent="0.3">
      <c r="A5" s="2">
        <v>39629</v>
      </c>
      <c r="B5" t="s">
        <v>6</v>
      </c>
      <c r="C5" t="s">
        <v>12</v>
      </c>
      <c r="D5">
        <v>360</v>
      </c>
      <c r="E5">
        <v>177</v>
      </c>
      <c r="F5">
        <v>13</v>
      </c>
    </row>
    <row r="6" spans="1:6" x14ac:dyDescent="0.3">
      <c r="A6" s="2">
        <v>39629</v>
      </c>
      <c r="B6" t="s">
        <v>6</v>
      </c>
      <c r="C6" t="s">
        <v>13</v>
      </c>
      <c r="D6">
        <v>470</v>
      </c>
      <c r="E6">
        <v>18</v>
      </c>
      <c r="F6">
        <v>8</v>
      </c>
    </row>
    <row r="7" spans="1:6" x14ac:dyDescent="0.3">
      <c r="A7" s="2">
        <v>39631</v>
      </c>
      <c r="B7" t="s">
        <v>10</v>
      </c>
      <c r="C7" t="s">
        <v>14</v>
      </c>
      <c r="D7">
        <v>240</v>
      </c>
      <c r="E7">
        <v>23</v>
      </c>
      <c r="F7">
        <v>11</v>
      </c>
    </row>
    <row r="8" spans="1:6" x14ac:dyDescent="0.3">
      <c r="A8" s="2">
        <v>39632</v>
      </c>
      <c r="B8" t="s">
        <v>6</v>
      </c>
      <c r="C8" t="s">
        <v>13</v>
      </c>
      <c r="D8">
        <v>124</v>
      </c>
      <c r="E8">
        <v>8</v>
      </c>
      <c r="F8">
        <v>5</v>
      </c>
    </row>
    <row r="9" spans="1:6" x14ac:dyDescent="0.3">
      <c r="A9" s="2">
        <v>39639</v>
      </c>
      <c r="B9" t="s">
        <v>8</v>
      </c>
      <c r="C9" t="s">
        <v>15</v>
      </c>
      <c r="D9">
        <v>260</v>
      </c>
      <c r="E9">
        <v>34</v>
      </c>
      <c r="F9">
        <v>4</v>
      </c>
    </row>
    <row r="10" spans="1:6" x14ac:dyDescent="0.3">
      <c r="A10" s="2">
        <v>39639</v>
      </c>
      <c r="B10" t="s">
        <v>16</v>
      </c>
      <c r="C10" t="s">
        <v>17</v>
      </c>
      <c r="D10">
        <v>70</v>
      </c>
      <c r="E10">
        <v>10</v>
      </c>
      <c r="F10">
        <v>5</v>
      </c>
    </row>
    <row r="11" spans="1:6" x14ac:dyDescent="0.3">
      <c r="A11" s="2">
        <v>39639</v>
      </c>
      <c r="B11" t="s">
        <v>6</v>
      </c>
      <c r="C11" t="s">
        <v>18</v>
      </c>
      <c r="D11">
        <v>15</v>
      </c>
      <c r="E11">
        <v>6</v>
      </c>
      <c r="F11">
        <v>1</v>
      </c>
    </row>
    <row r="12" spans="1:6" x14ac:dyDescent="0.3">
      <c r="A12" s="2">
        <v>39641</v>
      </c>
      <c r="B12" t="s">
        <v>8</v>
      </c>
      <c r="C12" t="s">
        <v>19</v>
      </c>
      <c r="D12">
        <v>94</v>
      </c>
      <c r="E12">
        <v>60</v>
      </c>
      <c r="F12">
        <v>5</v>
      </c>
    </row>
    <row r="13" spans="1:6" x14ac:dyDescent="0.3">
      <c r="A13" s="2">
        <v>39641</v>
      </c>
      <c r="B13" t="s">
        <v>16</v>
      </c>
      <c r="C13" t="s">
        <v>17</v>
      </c>
      <c r="D13">
        <v>1050</v>
      </c>
      <c r="E13">
        <v>16</v>
      </c>
      <c r="F13">
        <v>11</v>
      </c>
    </row>
    <row r="14" spans="1:6" x14ac:dyDescent="0.3">
      <c r="A14" s="2">
        <v>39643</v>
      </c>
      <c r="B14" t="s">
        <v>6</v>
      </c>
      <c r="C14" t="s">
        <v>20</v>
      </c>
      <c r="D14">
        <v>100</v>
      </c>
      <c r="E14">
        <v>27</v>
      </c>
      <c r="F14">
        <v>4</v>
      </c>
    </row>
    <row r="15" spans="1:6" x14ac:dyDescent="0.3">
      <c r="A15" s="2">
        <v>39643</v>
      </c>
      <c r="B15" t="s">
        <v>6</v>
      </c>
      <c r="C15" t="s">
        <v>21</v>
      </c>
      <c r="D15">
        <v>126</v>
      </c>
      <c r="E15">
        <v>9</v>
      </c>
      <c r="F15">
        <v>3</v>
      </c>
    </row>
    <row r="16" spans="1:6" x14ac:dyDescent="0.3">
      <c r="A16" s="2">
        <v>39644</v>
      </c>
      <c r="B16" t="s">
        <v>10</v>
      </c>
      <c r="C16" t="s">
        <v>22</v>
      </c>
      <c r="D16">
        <v>60</v>
      </c>
      <c r="E16">
        <v>15</v>
      </c>
      <c r="F16">
        <v>5</v>
      </c>
    </row>
    <row r="17" spans="1:6" x14ac:dyDescent="0.3">
      <c r="A17" s="2">
        <v>39646</v>
      </c>
      <c r="B17" t="s">
        <v>23</v>
      </c>
      <c r="C17" t="s">
        <v>24</v>
      </c>
      <c r="D17">
        <v>82</v>
      </c>
      <c r="E17">
        <v>16</v>
      </c>
      <c r="F17">
        <v>1</v>
      </c>
    </row>
    <row r="18" spans="1:6" x14ac:dyDescent="0.3">
      <c r="A18" s="2">
        <v>39646</v>
      </c>
      <c r="B18" t="s">
        <v>23</v>
      </c>
      <c r="C18" t="s">
        <v>25</v>
      </c>
      <c r="D18">
        <v>92</v>
      </c>
      <c r="E18">
        <v>13</v>
      </c>
      <c r="F18">
        <v>1</v>
      </c>
    </row>
    <row r="19" spans="1:6" x14ac:dyDescent="0.3">
      <c r="A19" s="2">
        <v>39647</v>
      </c>
      <c r="B19" t="s">
        <v>6</v>
      </c>
      <c r="C19" t="s">
        <v>26</v>
      </c>
      <c r="D19">
        <v>65</v>
      </c>
      <c r="E19">
        <v>5</v>
      </c>
      <c r="F19">
        <v>1</v>
      </c>
    </row>
    <row r="20" spans="1:6" x14ac:dyDescent="0.3">
      <c r="A20" s="2">
        <v>39648</v>
      </c>
      <c r="B20" t="s">
        <v>6</v>
      </c>
      <c r="C20" t="s">
        <v>27</v>
      </c>
      <c r="D20">
        <v>220</v>
      </c>
      <c r="E20">
        <v>9</v>
      </c>
      <c r="F20">
        <v>2</v>
      </c>
    </row>
    <row r="21" spans="1:6" x14ac:dyDescent="0.3">
      <c r="A21" s="2">
        <v>39648</v>
      </c>
      <c r="B21" t="s">
        <v>23</v>
      </c>
      <c r="C21" t="s">
        <v>25</v>
      </c>
      <c r="D21">
        <v>703</v>
      </c>
      <c r="E21">
        <v>131</v>
      </c>
      <c r="F21">
        <v>86</v>
      </c>
    </row>
    <row r="22" spans="1:6" x14ac:dyDescent="0.3">
      <c r="A22" s="2">
        <v>39648</v>
      </c>
      <c r="B22" t="s">
        <v>23</v>
      </c>
      <c r="C22" t="s">
        <v>28</v>
      </c>
      <c r="D22">
        <v>55</v>
      </c>
      <c r="E22">
        <v>14</v>
      </c>
      <c r="F22">
        <v>0</v>
      </c>
    </row>
    <row r="23" spans="1:6" x14ac:dyDescent="0.3">
      <c r="A23" s="2">
        <v>39648</v>
      </c>
      <c r="B23" t="s">
        <v>29</v>
      </c>
      <c r="C23" t="s">
        <v>30</v>
      </c>
      <c r="D23">
        <v>28</v>
      </c>
      <c r="E23">
        <v>5</v>
      </c>
      <c r="F23">
        <v>2</v>
      </c>
    </row>
    <row r="24" spans="1:6" x14ac:dyDescent="0.3">
      <c r="A24" s="2">
        <v>39649</v>
      </c>
      <c r="B24" t="s">
        <v>8</v>
      </c>
      <c r="C24" t="s">
        <v>9</v>
      </c>
      <c r="D24">
        <v>1100</v>
      </c>
      <c r="E24">
        <v>75</v>
      </c>
      <c r="F24">
        <v>47</v>
      </c>
    </row>
    <row r="25" spans="1:6" x14ac:dyDescent="0.3">
      <c r="A25" s="2">
        <v>39649</v>
      </c>
      <c r="B25" t="s">
        <v>16</v>
      </c>
      <c r="C25" t="s">
        <v>31</v>
      </c>
      <c r="D25">
        <v>60</v>
      </c>
      <c r="E25">
        <v>5</v>
      </c>
      <c r="F25">
        <v>0</v>
      </c>
    </row>
    <row r="26" spans="1:6" x14ac:dyDescent="0.3">
      <c r="A26" s="2">
        <v>39649</v>
      </c>
      <c r="B26" t="s">
        <v>23</v>
      </c>
      <c r="C26" t="s">
        <v>32</v>
      </c>
      <c r="D26">
        <v>115</v>
      </c>
      <c r="E26">
        <v>21</v>
      </c>
      <c r="F26">
        <v>1</v>
      </c>
    </row>
    <row r="27" spans="1:6" x14ac:dyDescent="0.3">
      <c r="A27" s="2">
        <v>39649</v>
      </c>
      <c r="B27" t="s">
        <v>23</v>
      </c>
      <c r="C27" t="s">
        <v>33</v>
      </c>
      <c r="D27">
        <v>100</v>
      </c>
      <c r="E27">
        <v>4</v>
      </c>
      <c r="F27">
        <v>4</v>
      </c>
    </row>
    <row r="28" spans="1:6" x14ac:dyDescent="0.3">
      <c r="A28" s="2">
        <v>39649</v>
      </c>
      <c r="B28" t="s">
        <v>6</v>
      </c>
      <c r="C28" t="s">
        <v>34</v>
      </c>
      <c r="D28">
        <v>51</v>
      </c>
      <c r="E28">
        <v>10</v>
      </c>
      <c r="F28">
        <v>5</v>
      </c>
    </row>
    <row r="29" spans="1:6" x14ac:dyDescent="0.3">
      <c r="A29" s="2">
        <v>39650</v>
      </c>
      <c r="B29" t="s">
        <v>16</v>
      </c>
      <c r="C29" t="s">
        <v>31</v>
      </c>
      <c r="D29">
        <v>153</v>
      </c>
      <c r="E29">
        <v>14</v>
      </c>
      <c r="F29">
        <v>10</v>
      </c>
    </row>
    <row r="30" spans="1:6" x14ac:dyDescent="0.3">
      <c r="A30" s="2">
        <v>39650</v>
      </c>
      <c r="B30" t="s">
        <v>16</v>
      </c>
      <c r="C30" t="s">
        <v>35</v>
      </c>
      <c r="D30">
        <v>61</v>
      </c>
      <c r="E30">
        <v>19</v>
      </c>
      <c r="F30">
        <v>7</v>
      </c>
    </row>
    <row r="31" spans="1:6" x14ac:dyDescent="0.3">
      <c r="A31" s="2">
        <v>39650</v>
      </c>
      <c r="B31" t="s">
        <v>6</v>
      </c>
      <c r="C31" t="s">
        <v>36</v>
      </c>
      <c r="D31">
        <v>724</v>
      </c>
      <c r="E31">
        <v>16</v>
      </c>
      <c r="F31">
        <v>5</v>
      </c>
    </row>
    <row r="32" spans="1:6" x14ac:dyDescent="0.3">
      <c r="A32" s="2">
        <v>39650</v>
      </c>
      <c r="B32" t="s">
        <v>6</v>
      </c>
      <c r="C32" t="s">
        <v>37</v>
      </c>
      <c r="D32">
        <v>50</v>
      </c>
      <c r="E32">
        <v>2</v>
      </c>
      <c r="F32">
        <v>0</v>
      </c>
    </row>
    <row r="33" spans="1:6" x14ac:dyDescent="0.3">
      <c r="A33" s="2">
        <v>39650</v>
      </c>
      <c r="B33" t="s">
        <v>29</v>
      </c>
      <c r="C33" t="s">
        <v>30</v>
      </c>
      <c r="D33">
        <v>188</v>
      </c>
      <c r="E33">
        <v>6</v>
      </c>
      <c r="F33">
        <v>0</v>
      </c>
    </row>
    <row r="34" spans="1:6" x14ac:dyDescent="0.3">
      <c r="A34" s="2">
        <v>39650</v>
      </c>
      <c r="B34" t="s">
        <v>8</v>
      </c>
      <c r="C34" t="s">
        <v>38</v>
      </c>
      <c r="D34">
        <v>376</v>
      </c>
      <c r="E34">
        <v>73</v>
      </c>
      <c r="F34">
        <v>38</v>
      </c>
    </row>
    <row r="35" spans="1:6" x14ac:dyDescent="0.3">
      <c r="A35" s="2">
        <v>39651</v>
      </c>
      <c r="B35" t="s">
        <v>8</v>
      </c>
      <c r="C35" t="s">
        <v>9</v>
      </c>
      <c r="D35">
        <v>800</v>
      </c>
      <c r="E35">
        <v>202</v>
      </c>
      <c r="F35">
        <v>140</v>
      </c>
    </row>
    <row r="36" spans="1:6" x14ac:dyDescent="0.3">
      <c r="A36" s="2">
        <v>39651</v>
      </c>
      <c r="B36" t="s">
        <v>23</v>
      </c>
      <c r="C36" t="s">
        <v>39</v>
      </c>
      <c r="D36">
        <v>120</v>
      </c>
      <c r="E36">
        <v>22</v>
      </c>
      <c r="F36">
        <v>12</v>
      </c>
    </row>
    <row r="37" spans="1:6" x14ac:dyDescent="0.3">
      <c r="A37" s="2">
        <v>39651</v>
      </c>
      <c r="B37" t="s">
        <v>29</v>
      </c>
      <c r="C37" t="s">
        <v>30</v>
      </c>
      <c r="D37">
        <v>517</v>
      </c>
      <c r="E37">
        <v>3</v>
      </c>
      <c r="F37">
        <v>0</v>
      </c>
    </row>
    <row r="38" spans="1:6" x14ac:dyDescent="0.3">
      <c r="A38" s="2">
        <v>39651</v>
      </c>
      <c r="B38" t="s">
        <v>8</v>
      </c>
      <c r="C38" t="s">
        <v>40</v>
      </c>
      <c r="D38">
        <v>208</v>
      </c>
      <c r="E38">
        <v>62</v>
      </c>
      <c r="F38">
        <v>50</v>
      </c>
    </row>
    <row r="39" spans="1:6" x14ac:dyDescent="0.3">
      <c r="A39" s="2">
        <v>39651</v>
      </c>
      <c r="B39" t="s">
        <v>6</v>
      </c>
      <c r="C39" t="s">
        <v>41</v>
      </c>
      <c r="D39">
        <v>80</v>
      </c>
      <c r="E39">
        <v>14</v>
      </c>
      <c r="F39">
        <v>0</v>
      </c>
    </row>
    <row r="40" spans="1:6" x14ac:dyDescent="0.3">
      <c r="A40" s="2">
        <v>39652</v>
      </c>
      <c r="B40" t="s">
        <v>8</v>
      </c>
      <c r="C40" t="s">
        <v>9</v>
      </c>
      <c r="D40">
        <v>4000</v>
      </c>
      <c r="E40">
        <v>436</v>
      </c>
      <c r="F40">
        <v>406</v>
      </c>
    </row>
    <row r="41" spans="1:6" x14ac:dyDescent="0.3">
      <c r="A41" s="2">
        <v>39652</v>
      </c>
      <c r="B41" t="s">
        <v>6</v>
      </c>
      <c r="C41" t="s">
        <v>42</v>
      </c>
      <c r="D41">
        <v>53</v>
      </c>
      <c r="E41">
        <v>53</v>
      </c>
      <c r="F41">
        <v>2</v>
      </c>
    </row>
    <row r="42" spans="1:6" x14ac:dyDescent="0.3">
      <c r="A42" s="2">
        <v>39652</v>
      </c>
      <c r="B42" t="s">
        <v>23</v>
      </c>
      <c r="C42" t="s">
        <v>25</v>
      </c>
      <c r="D42">
        <v>45</v>
      </c>
      <c r="E42">
        <v>23</v>
      </c>
      <c r="F42">
        <v>3</v>
      </c>
    </row>
    <row r="43" spans="1:6" x14ac:dyDescent="0.3">
      <c r="A43" s="2">
        <v>39653</v>
      </c>
      <c r="B43" t="s">
        <v>8</v>
      </c>
      <c r="C43" t="s">
        <v>9</v>
      </c>
      <c r="D43">
        <v>300</v>
      </c>
      <c r="E43">
        <v>13</v>
      </c>
      <c r="F43">
        <v>7</v>
      </c>
    </row>
    <row r="44" spans="1:6" x14ac:dyDescent="0.3">
      <c r="A44" s="2">
        <v>39653</v>
      </c>
      <c r="B44" t="s">
        <v>16</v>
      </c>
      <c r="C44" t="s">
        <v>31</v>
      </c>
      <c r="D44">
        <v>73</v>
      </c>
      <c r="E44">
        <v>13</v>
      </c>
      <c r="F44">
        <v>10</v>
      </c>
    </row>
    <row r="45" spans="1:6" x14ac:dyDescent="0.3">
      <c r="A45" s="2">
        <v>39653</v>
      </c>
      <c r="B45" t="s">
        <v>6</v>
      </c>
      <c r="C45" t="s">
        <v>20</v>
      </c>
      <c r="D45">
        <v>170</v>
      </c>
      <c r="E45">
        <v>27</v>
      </c>
      <c r="F45">
        <v>2</v>
      </c>
    </row>
    <row r="46" spans="1:6" x14ac:dyDescent="0.3">
      <c r="A46" s="2">
        <v>39653</v>
      </c>
      <c r="B46" t="s">
        <v>6</v>
      </c>
      <c r="C46" t="s">
        <v>7</v>
      </c>
      <c r="D46">
        <v>23</v>
      </c>
      <c r="E46">
        <v>7</v>
      </c>
      <c r="F46">
        <v>0</v>
      </c>
    </row>
    <row r="47" spans="1:6" x14ac:dyDescent="0.3">
      <c r="A47" s="2">
        <v>39653</v>
      </c>
      <c r="B47" t="s">
        <v>6</v>
      </c>
      <c r="C47" t="s">
        <v>43</v>
      </c>
      <c r="D47">
        <v>27</v>
      </c>
      <c r="E47">
        <v>2</v>
      </c>
      <c r="F47">
        <v>0</v>
      </c>
    </row>
    <row r="48" spans="1:6" x14ac:dyDescent="0.3">
      <c r="A48" s="2">
        <v>39654</v>
      </c>
      <c r="B48" t="s">
        <v>8</v>
      </c>
      <c r="C48" t="s">
        <v>9</v>
      </c>
      <c r="D48">
        <v>930</v>
      </c>
      <c r="E48">
        <v>22</v>
      </c>
      <c r="F48">
        <v>15</v>
      </c>
    </row>
    <row r="49" spans="1:6" x14ac:dyDescent="0.3">
      <c r="A49" s="2">
        <v>39654</v>
      </c>
      <c r="B49" t="s">
        <v>23</v>
      </c>
      <c r="C49" t="s">
        <v>25</v>
      </c>
      <c r="D49">
        <v>54</v>
      </c>
      <c r="E49">
        <v>7</v>
      </c>
      <c r="F49">
        <v>0</v>
      </c>
    </row>
    <row r="50" spans="1:6" x14ac:dyDescent="0.3">
      <c r="A50" s="2">
        <v>39654</v>
      </c>
      <c r="B50" t="s">
        <v>29</v>
      </c>
      <c r="C50" t="s">
        <v>30</v>
      </c>
      <c r="D50">
        <v>355</v>
      </c>
      <c r="E50">
        <v>3</v>
      </c>
      <c r="F50">
        <v>0</v>
      </c>
    </row>
    <row r="51" spans="1:6" x14ac:dyDescent="0.3">
      <c r="A51" s="2">
        <v>39654</v>
      </c>
      <c r="B51" t="s">
        <v>6</v>
      </c>
      <c r="C51" t="s">
        <v>13</v>
      </c>
      <c r="D51">
        <v>69</v>
      </c>
      <c r="E51">
        <v>7</v>
      </c>
      <c r="F51">
        <v>0</v>
      </c>
    </row>
    <row r="52" spans="1:6" x14ac:dyDescent="0.3">
      <c r="A52" s="2">
        <v>39654</v>
      </c>
      <c r="B52" t="s">
        <v>6</v>
      </c>
      <c r="C52" t="s">
        <v>34</v>
      </c>
      <c r="D52">
        <v>348</v>
      </c>
      <c r="E52">
        <v>14</v>
      </c>
      <c r="F52">
        <v>4</v>
      </c>
    </row>
    <row r="53" spans="1:6" x14ac:dyDescent="0.3">
      <c r="A53" s="2">
        <v>39655</v>
      </c>
      <c r="B53" t="s">
        <v>10</v>
      </c>
      <c r="C53" t="s">
        <v>44</v>
      </c>
      <c r="D53">
        <v>18</v>
      </c>
      <c r="E53">
        <v>5</v>
      </c>
      <c r="F53">
        <v>2</v>
      </c>
    </row>
    <row r="54" spans="1:6" x14ac:dyDescent="0.3">
      <c r="A54" s="2">
        <v>39655</v>
      </c>
      <c r="B54" t="s">
        <v>8</v>
      </c>
      <c r="C54" t="s">
        <v>9</v>
      </c>
      <c r="D54">
        <v>500</v>
      </c>
      <c r="E54">
        <v>123</v>
      </c>
      <c r="F54">
        <v>73</v>
      </c>
    </row>
    <row r="55" spans="1:6" x14ac:dyDescent="0.3">
      <c r="A55" s="2">
        <v>39655</v>
      </c>
      <c r="B55" t="s">
        <v>6</v>
      </c>
      <c r="C55" t="s">
        <v>45</v>
      </c>
      <c r="D55">
        <v>200</v>
      </c>
      <c r="E55">
        <v>30</v>
      </c>
      <c r="F55">
        <v>3</v>
      </c>
    </row>
    <row r="56" spans="1:6" x14ac:dyDescent="0.3">
      <c r="A56" s="2">
        <v>39656</v>
      </c>
      <c r="B56" t="s">
        <v>8</v>
      </c>
      <c r="C56" t="s">
        <v>9</v>
      </c>
      <c r="D56">
        <v>205</v>
      </c>
      <c r="E56">
        <v>3</v>
      </c>
      <c r="F56">
        <v>0</v>
      </c>
    </row>
    <row r="57" spans="1:6" x14ac:dyDescent="0.3">
      <c r="A57" s="2">
        <v>39657</v>
      </c>
      <c r="B57" t="s">
        <v>8</v>
      </c>
      <c r="C57" t="s">
        <v>9</v>
      </c>
      <c r="D57">
        <v>710</v>
      </c>
      <c r="E57">
        <v>215</v>
      </c>
      <c r="F57">
        <v>200</v>
      </c>
    </row>
    <row r="58" spans="1:6" x14ac:dyDescent="0.3">
      <c r="A58" s="2">
        <v>39657</v>
      </c>
      <c r="B58" t="s">
        <v>10</v>
      </c>
      <c r="C58" t="s">
        <v>46</v>
      </c>
      <c r="D58">
        <v>67</v>
      </c>
      <c r="E58">
        <v>36</v>
      </c>
      <c r="F58">
        <v>17</v>
      </c>
    </row>
    <row r="59" spans="1:6" x14ac:dyDescent="0.3">
      <c r="A59" s="2">
        <v>39657</v>
      </c>
      <c r="B59" t="s">
        <v>10</v>
      </c>
      <c r="C59" t="s">
        <v>47</v>
      </c>
      <c r="D59">
        <v>24</v>
      </c>
      <c r="E59">
        <v>15</v>
      </c>
      <c r="F59">
        <v>13</v>
      </c>
    </row>
    <row r="60" spans="1:6" x14ac:dyDescent="0.3">
      <c r="A60" s="2">
        <v>39657</v>
      </c>
      <c r="B60" t="s">
        <v>6</v>
      </c>
      <c r="C60" t="s">
        <v>48</v>
      </c>
      <c r="D60">
        <v>44</v>
      </c>
      <c r="E60">
        <v>20</v>
      </c>
      <c r="F60">
        <v>2</v>
      </c>
    </row>
    <row r="61" spans="1:6" x14ac:dyDescent="0.3">
      <c r="A61" s="2">
        <v>39658</v>
      </c>
      <c r="B61" t="s">
        <v>6</v>
      </c>
      <c r="C61" t="s">
        <v>45</v>
      </c>
      <c r="D61">
        <v>720</v>
      </c>
      <c r="E61">
        <v>33</v>
      </c>
      <c r="F61">
        <v>7</v>
      </c>
    </row>
    <row r="62" spans="1:6" x14ac:dyDescent="0.3">
      <c r="A62" s="2">
        <v>39660</v>
      </c>
      <c r="B62" t="s">
        <v>16</v>
      </c>
      <c r="C62" t="s">
        <v>49</v>
      </c>
      <c r="D62">
        <v>200</v>
      </c>
      <c r="E62">
        <v>20</v>
      </c>
      <c r="F62">
        <v>12</v>
      </c>
    </row>
    <row r="63" spans="1:6" x14ac:dyDescent="0.3">
      <c r="A63" s="2">
        <v>39660</v>
      </c>
      <c r="B63" t="s">
        <v>50</v>
      </c>
      <c r="C63" t="s">
        <v>51</v>
      </c>
      <c r="D63">
        <v>115</v>
      </c>
      <c r="E63">
        <v>18</v>
      </c>
      <c r="F63">
        <v>8</v>
      </c>
    </row>
    <row r="64" spans="1:6" x14ac:dyDescent="0.3">
      <c r="A64" s="2">
        <v>39660</v>
      </c>
      <c r="B64" t="s">
        <v>23</v>
      </c>
      <c r="C64" t="s">
        <v>24</v>
      </c>
      <c r="D64">
        <v>48</v>
      </c>
      <c r="E64">
        <v>13</v>
      </c>
      <c r="F64">
        <v>3</v>
      </c>
    </row>
    <row r="65" spans="1:6" x14ac:dyDescent="0.3">
      <c r="A65" s="2">
        <v>39660</v>
      </c>
      <c r="B65" t="s">
        <v>6</v>
      </c>
      <c r="C65" t="s">
        <v>45</v>
      </c>
      <c r="D65">
        <v>275</v>
      </c>
      <c r="E65">
        <v>17</v>
      </c>
      <c r="F65">
        <v>0</v>
      </c>
    </row>
    <row r="66" spans="1:6" x14ac:dyDescent="0.3">
      <c r="A66" s="2">
        <v>39660</v>
      </c>
      <c r="B66" t="s">
        <v>29</v>
      </c>
      <c r="C66" t="s">
        <v>30</v>
      </c>
      <c r="D66">
        <v>317</v>
      </c>
      <c r="E66">
        <v>10</v>
      </c>
      <c r="F66">
        <v>1</v>
      </c>
    </row>
    <row r="67" spans="1:6" x14ac:dyDescent="0.3">
      <c r="A67" s="2">
        <v>39660</v>
      </c>
      <c r="B67" t="s">
        <v>16</v>
      </c>
      <c r="C67" t="s">
        <v>52</v>
      </c>
      <c r="D67">
        <v>20</v>
      </c>
      <c r="E67">
        <v>4</v>
      </c>
      <c r="F67">
        <v>0</v>
      </c>
    </row>
    <row r="68" spans="1:6" x14ac:dyDescent="0.3">
      <c r="A68" s="2">
        <v>39660</v>
      </c>
      <c r="B68" t="s">
        <v>16</v>
      </c>
      <c r="C68" t="s">
        <v>53</v>
      </c>
      <c r="D68">
        <v>235</v>
      </c>
      <c r="E68">
        <v>6</v>
      </c>
      <c r="F68">
        <v>2</v>
      </c>
    </row>
    <row r="69" spans="1:6" x14ac:dyDescent="0.3">
      <c r="A69" s="2">
        <v>39660</v>
      </c>
      <c r="B69" t="s">
        <v>6</v>
      </c>
      <c r="C69" t="s">
        <v>54</v>
      </c>
      <c r="D69">
        <v>800</v>
      </c>
      <c r="E69">
        <v>5</v>
      </c>
      <c r="F69">
        <v>0</v>
      </c>
    </row>
    <row r="70" spans="1:6" x14ac:dyDescent="0.3">
      <c r="A70" s="2">
        <v>39660</v>
      </c>
      <c r="B70" t="s">
        <v>6</v>
      </c>
      <c r="C70" t="s">
        <v>55</v>
      </c>
      <c r="D70">
        <v>210</v>
      </c>
      <c r="E70">
        <v>26</v>
      </c>
      <c r="F70">
        <v>10</v>
      </c>
    </row>
    <row r="71" spans="1:6" x14ac:dyDescent="0.3">
      <c r="A71" s="2">
        <v>39660</v>
      </c>
      <c r="B71" t="s">
        <v>10</v>
      </c>
      <c r="C71" t="s">
        <v>56</v>
      </c>
      <c r="D71">
        <v>130</v>
      </c>
      <c r="E71">
        <v>23</v>
      </c>
      <c r="F71">
        <v>8</v>
      </c>
    </row>
    <row r="72" spans="1:6" x14ac:dyDescent="0.3">
      <c r="A72" s="2">
        <v>39661</v>
      </c>
      <c r="B72" t="s">
        <v>23</v>
      </c>
      <c r="C72" t="s">
        <v>57</v>
      </c>
      <c r="D72">
        <v>52</v>
      </c>
      <c r="E72">
        <v>35</v>
      </c>
      <c r="F72">
        <v>19</v>
      </c>
    </row>
    <row r="73" spans="1:6" x14ac:dyDescent="0.3">
      <c r="A73" s="2">
        <v>39661</v>
      </c>
      <c r="B73" t="s">
        <v>8</v>
      </c>
      <c r="C73" t="s">
        <v>58</v>
      </c>
      <c r="D73">
        <v>100</v>
      </c>
      <c r="E73">
        <v>5</v>
      </c>
      <c r="F73">
        <v>2</v>
      </c>
    </row>
    <row r="74" spans="1:6" x14ac:dyDescent="0.3">
      <c r="A74" s="2">
        <v>39661</v>
      </c>
      <c r="B74" t="s">
        <v>16</v>
      </c>
      <c r="C74" t="s">
        <v>59</v>
      </c>
      <c r="D74">
        <v>41</v>
      </c>
      <c r="E74">
        <v>10</v>
      </c>
      <c r="F74">
        <v>0</v>
      </c>
    </row>
    <row r="75" spans="1:6" x14ac:dyDescent="0.3">
      <c r="A75" s="2">
        <v>39661</v>
      </c>
      <c r="B75" t="s">
        <v>6</v>
      </c>
      <c r="C75" t="s">
        <v>42</v>
      </c>
      <c r="D75">
        <v>78</v>
      </c>
      <c r="E75">
        <v>17</v>
      </c>
      <c r="F75">
        <v>5</v>
      </c>
    </row>
    <row r="76" spans="1:6" x14ac:dyDescent="0.3">
      <c r="A76" s="2">
        <v>39661</v>
      </c>
      <c r="B76" t="s">
        <v>23</v>
      </c>
      <c r="C76" t="s">
        <v>32</v>
      </c>
      <c r="D76">
        <v>78</v>
      </c>
      <c r="E76">
        <v>22</v>
      </c>
      <c r="F76">
        <v>2</v>
      </c>
    </row>
    <row r="77" spans="1:6" x14ac:dyDescent="0.3">
      <c r="A77" s="2">
        <v>39661</v>
      </c>
      <c r="B77" t="s">
        <v>6</v>
      </c>
      <c r="C77" t="s">
        <v>45</v>
      </c>
      <c r="D77">
        <v>506</v>
      </c>
      <c r="E77">
        <v>5</v>
      </c>
      <c r="F77">
        <v>0</v>
      </c>
    </row>
    <row r="78" spans="1:6" x14ac:dyDescent="0.3">
      <c r="A78" s="2">
        <v>39661</v>
      </c>
      <c r="B78" t="s">
        <v>10</v>
      </c>
      <c r="C78" t="s">
        <v>60</v>
      </c>
      <c r="D78">
        <v>106</v>
      </c>
      <c r="E78">
        <v>8</v>
      </c>
      <c r="F78">
        <v>2</v>
      </c>
    </row>
    <row r="79" spans="1:6" x14ac:dyDescent="0.3">
      <c r="A79" s="2">
        <v>39661</v>
      </c>
      <c r="B79" t="s">
        <v>29</v>
      </c>
      <c r="C79" t="s">
        <v>30</v>
      </c>
      <c r="D79">
        <v>232</v>
      </c>
      <c r="E79">
        <v>7</v>
      </c>
      <c r="F79">
        <v>2</v>
      </c>
    </row>
    <row r="80" spans="1:6" x14ac:dyDescent="0.3">
      <c r="A80" s="2">
        <v>39661</v>
      </c>
      <c r="B80" t="s">
        <v>6</v>
      </c>
      <c r="C80" t="s">
        <v>61</v>
      </c>
      <c r="D80">
        <v>80</v>
      </c>
      <c r="E80">
        <v>14</v>
      </c>
      <c r="F80">
        <v>8</v>
      </c>
    </row>
    <row r="81" spans="1:6" x14ac:dyDescent="0.3">
      <c r="A81" s="2">
        <v>39661</v>
      </c>
      <c r="B81" t="s">
        <v>8</v>
      </c>
      <c r="C81" t="s">
        <v>62</v>
      </c>
      <c r="D81">
        <v>75</v>
      </c>
      <c r="E81">
        <v>3</v>
      </c>
      <c r="F81">
        <v>3</v>
      </c>
    </row>
    <row r="82" spans="1:6" x14ac:dyDescent="0.3">
      <c r="A82" s="2">
        <v>39662</v>
      </c>
      <c r="B82" t="s">
        <v>23</v>
      </c>
      <c r="C82" t="s">
        <v>57</v>
      </c>
      <c r="D82">
        <v>21</v>
      </c>
      <c r="E82">
        <v>8</v>
      </c>
      <c r="F82">
        <v>5</v>
      </c>
    </row>
    <row r="83" spans="1:6" x14ac:dyDescent="0.3">
      <c r="A83" s="2">
        <v>39662</v>
      </c>
      <c r="B83" t="s">
        <v>8</v>
      </c>
      <c r="C83" t="s">
        <v>63</v>
      </c>
      <c r="D83">
        <v>140</v>
      </c>
      <c r="E83">
        <v>29</v>
      </c>
      <c r="F83">
        <v>12</v>
      </c>
    </row>
    <row r="84" spans="1:6" x14ac:dyDescent="0.3">
      <c r="A84" s="2">
        <v>39662</v>
      </c>
      <c r="B84" t="s">
        <v>8</v>
      </c>
      <c r="C84" t="s">
        <v>9</v>
      </c>
      <c r="D84">
        <v>500</v>
      </c>
      <c r="E84">
        <v>123</v>
      </c>
      <c r="F84">
        <v>20</v>
      </c>
    </row>
    <row r="85" spans="1:6" x14ac:dyDescent="0.3">
      <c r="A85" s="2">
        <v>39662</v>
      </c>
      <c r="B85" t="s">
        <v>6</v>
      </c>
      <c r="C85" t="s">
        <v>42</v>
      </c>
      <c r="D85">
        <v>11</v>
      </c>
      <c r="E85">
        <v>3</v>
      </c>
      <c r="F85">
        <v>0</v>
      </c>
    </row>
    <row r="86" spans="1:6" x14ac:dyDescent="0.3">
      <c r="A86" s="2">
        <v>39662</v>
      </c>
      <c r="B86" t="s">
        <v>6</v>
      </c>
      <c r="C86" t="s">
        <v>64</v>
      </c>
      <c r="D86">
        <v>60</v>
      </c>
      <c r="E86">
        <v>6</v>
      </c>
      <c r="F86">
        <v>4</v>
      </c>
    </row>
    <row r="87" spans="1:6" x14ac:dyDescent="0.3">
      <c r="A87" s="2">
        <v>39662</v>
      </c>
      <c r="B87" t="s">
        <v>6</v>
      </c>
      <c r="C87" t="s">
        <v>36</v>
      </c>
      <c r="D87">
        <v>148</v>
      </c>
      <c r="E87">
        <v>2</v>
      </c>
      <c r="F87">
        <v>0</v>
      </c>
    </row>
    <row r="88" spans="1:6" x14ac:dyDescent="0.3">
      <c r="A88" s="2">
        <v>39662</v>
      </c>
      <c r="B88" t="s">
        <v>6</v>
      </c>
      <c r="C88" t="s">
        <v>21</v>
      </c>
      <c r="D88">
        <v>20</v>
      </c>
      <c r="E88">
        <v>2</v>
      </c>
      <c r="F88">
        <v>0</v>
      </c>
    </row>
    <row r="89" spans="1:6" x14ac:dyDescent="0.3">
      <c r="A89" s="2">
        <v>39662</v>
      </c>
      <c r="B89" t="s">
        <v>10</v>
      </c>
      <c r="C89" t="s">
        <v>60</v>
      </c>
      <c r="D89">
        <v>22</v>
      </c>
      <c r="E89">
        <v>3</v>
      </c>
      <c r="F89">
        <v>1</v>
      </c>
    </row>
    <row r="90" spans="1:6" x14ac:dyDescent="0.3">
      <c r="A90" s="2">
        <v>39663</v>
      </c>
      <c r="B90" t="s">
        <v>23</v>
      </c>
      <c r="C90" t="s">
        <v>57</v>
      </c>
      <c r="D90">
        <v>8</v>
      </c>
      <c r="E90">
        <v>1</v>
      </c>
      <c r="F90">
        <v>0</v>
      </c>
    </row>
    <row r="91" spans="1:6" x14ac:dyDescent="0.3">
      <c r="A91" s="2">
        <v>39663</v>
      </c>
      <c r="B91" t="s">
        <v>6</v>
      </c>
      <c r="C91" t="s">
        <v>45</v>
      </c>
      <c r="D91">
        <v>200</v>
      </c>
      <c r="E91">
        <v>30</v>
      </c>
      <c r="F91">
        <v>0</v>
      </c>
    </row>
    <row r="92" spans="1:6" x14ac:dyDescent="0.3">
      <c r="A92" s="2">
        <v>39663</v>
      </c>
      <c r="B92" t="s">
        <v>65</v>
      </c>
      <c r="C92" t="s">
        <v>66</v>
      </c>
      <c r="D92">
        <v>49</v>
      </c>
      <c r="E92">
        <v>30</v>
      </c>
      <c r="F92">
        <v>2</v>
      </c>
    </row>
    <row r="93" spans="1:6" x14ac:dyDescent="0.3">
      <c r="A93" s="2">
        <v>39663</v>
      </c>
      <c r="B93" t="s">
        <v>6</v>
      </c>
      <c r="C93" t="s">
        <v>67</v>
      </c>
      <c r="D93">
        <v>88</v>
      </c>
      <c r="E93">
        <v>19</v>
      </c>
      <c r="F93">
        <v>7</v>
      </c>
    </row>
    <row r="94" spans="1:6" x14ac:dyDescent="0.3">
      <c r="A94" s="2">
        <v>39663</v>
      </c>
      <c r="B94" t="s">
        <v>68</v>
      </c>
      <c r="C94" t="s">
        <v>69</v>
      </c>
      <c r="D94">
        <v>400</v>
      </c>
      <c r="E94">
        <v>170</v>
      </c>
      <c r="F94">
        <v>45</v>
      </c>
    </row>
    <row r="95" spans="1:6" x14ac:dyDescent="0.3">
      <c r="A95" s="2">
        <v>39664</v>
      </c>
      <c r="B95" t="s">
        <v>50</v>
      </c>
      <c r="C95" t="s">
        <v>70</v>
      </c>
      <c r="D95">
        <v>140</v>
      </c>
      <c r="E95">
        <v>26</v>
      </c>
      <c r="F95">
        <v>20</v>
      </c>
    </row>
    <row r="96" spans="1:6" x14ac:dyDescent="0.3">
      <c r="A96" s="2">
        <v>39664</v>
      </c>
      <c r="B96" t="s">
        <v>6</v>
      </c>
      <c r="C96" t="s">
        <v>21</v>
      </c>
      <c r="D96">
        <v>201</v>
      </c>
      <c r="E96">
        <v>3</v>
      </c>
      <c r="F96">
        <v>0</v>
      </c>
    </row>
    <row r="97" spans="1:6" x14ac:dyDescent="0.3">
      <c r="A97" s="2">
        <v>39664</v>
      </c>
      <c r="B97" t="s">
        <v>6</v>
      </c>
      <c r="C97" t="s">
        <v>45</v>
      </c>
      <c r="D97">
        <v>288</v>
      </c>
      <c r="E97">
        <v>26</v>
      </c>
      <c r="F97">
        <v>0</v>
      </c>
    </row>
    <row r="98" spans="1:6" x14ac:dyDescent="0.3">
      <c r="A98" s="2">
        <v>39664</v>
      </c>
      <c r="B98" t="s">
        <v>23</v>
      </c>
      <c r="C98" t="s">
        <v>33</v>
      </c>
      <c r="D98">
        <v>91</v>
      </c>
      <c r="E98">
        <v>10</v>
      </c>
      <c r="F98">
        <v>2</v>
      </c>
    </row>
    <row r="99" spans="1:6" x14ac:dyDescent="0.3">
      <c r="A99" s="2">
        <v>39664</v>
      </c>
      <c r="B99" t="s">
        <v>29</v>
      </c>
      <c r="C99" t="s">
        <v>30</v>
      </c>
      <c r="D99">
        <v>428</v>
      </c>
      <c r="E99">
        <v>3</v>
      </c>
      <c r="F99">
        <v>0</v>
      </c>
    </row>
    <row r="100" spans="1:6" x14ac:dyDescent="0.3">
      <c r="A100" s="2">
        <v>39664</v>
      </c>
      <c r="B100" t="s">
        <v>6</v>
      </c>
      <c r="C100" t="s">
        <v>13</v>
      </c>
      <c r="D100">
        <v>195</v>
      </c>
      <c r="E100">
        <v>9</v>
      </c>
      <c r="F100">
        <v>4</v>
      </c>
    </row>
    <row r="101" spans="1:6" x14ac:dyDescent="0.3">
      <c r="A101" s="2">
        <v>39664</v>
      </c>
      <c r="B101" t="s">
        <v>6</v>
      </c>
      <c r="C101" t="s">
        <v>71</v>
      </c>
      <c r="D101">
        <v>60</v>
      </c>
      <c r="E101">
        <v>2</v>
      </c>
      <c r="F101">
        <v>0</v>
      </c>
    </row>
    <row r="102" spans="1:6" x14ac:dyDescent="0.3">
      <c r="A102" s="2">
        <v>39664</v>
      </c>
      <c r="B102" t="s">
        <v>65</v>
      </c>
      <c r="C102" t="s">
        <v>72</v>
      </c>
      <c r="D102">
        <v>1000</v>
      </c>
      <c r="E102">
        <v>410</v>
      </c>
      <c r="F102">
        <v>160</v>
      </c>
    </row>
    <row r="103" spans="1:6" x14ac:dyDescent="0.3">
      <c r="A103" s="2">
        <v>39664</v>
      </c>
      <c r="B103" t="s">
        <v>6</v>
      </c>
      <c r="C103" t="s">
        <v>73</v>
      </c>
      <c r="D103">
        <v>100</v>
      </c>
      <c r="E103">
        <v>11</v>
      </c>
      <c r="F103">
        <v>7</v>
      </c>
    </row>
    <row r="104" spans="1:6" x14ac:dyDescent="0.3">
      <c r="A104" s="2">
        <v>39664</v>
      </c>
      <c r="B104" t="s">
        <v>68</v>
      </c>
      <c r="C104" t="s">
        <v>74</v>
      </c>
      <c r="D104">
        <v>108</v>
      </c>
      <c r="E104">
        <v>36</v>
      </c>
      <c r="F104">
        <v>14</v>
      </c>
    </row>
    <row r="105" spans="1:6" x14ac:dyDescent="0.3">
      <c r="A105" s="2">
        <v>39665</v>
      </c>
      <c r="B105" t="s">
        <v>23</v>
      </c>
      <c r="C105" t="s">
        <v>75</v>
      </c>
      <c r="D105">
        <v>417</v>
      </c>
      <c r="E105">
        <v>13</v>
      </c>
      <c r="F105">
        <v>2</v>
      </c>
    </row>
    <row r="106" spans="1:6" x14ac:dyDescent="0.3">
      <c r="A106" s="2">
        <v>39665</v>
      </c>
      <c r="B106" t="s">
        <v>23</v>
      </c>
      <c r="C106" t="s">
        <v>76</v>
      </c>
      <c r="D106">
        <v>40</v>
      </c>
      <c r="E106">
        <v>17</v>
      </c>
      <c r="F106">
        <v>6</v>
      </c>
    </row>
    <row r="107" spans="1:6" x14ac:dyDescent="0.3">
      <c r="A107" s="2">
        <v>39665</v>
      </c>
      <c r="B107" t="s">
        <v>6</v>
      </c>
      <c r="C107" t="s">
        <v>71</v>
      </c>
      <c r="D107">
        <v>45</v>
      </c>
      <c r="E107">
        <v>6</v>
      </c>
      <c r="F107">
        <v>0</v>
      </c>
    </row>
    <row r="108" spans="1:6" x14ac:dyDescent="0.3">
      <c r="A108" s="2">
        <v>39665</v>
      </c>
      <c r="B108" t="s">
        <v>16</v>
      </c>
      <c r="C108" t="s">
        <v>77</v>
      </c>
      <c r="D108">
        <v>103</v>
      </c>
      <c r="E108">
        <v>3</v>
      </c>
      <c r="F108">
        <v>3</v>
      </c>
    </row>
    <row r="109" spans="1:6" x14ac:dyDescent="0.3">
      <c r="A109" s="2">
        <v>39668</v>
      </c>
      <c r="B109" t="s">
        <v>10</v>
      </c>
      <c r="C109" t="s">
        <v>44</v>
      </c>
      <c r="D109">
        <v>75</v>
      </c>
      <c r="E109">
        <v>23</v>
      </c>
      <c r="F109">
        <v>15</v>
      </c>
    </row>
    <row r="110" spans="1:6" x14ac:dyDescent="0.3">
      <c r="A110" s="2">
        <v>39668</v>
      </c>
      <c r="B110" t="s">
        <v>23</v>
      </c>
      <c r="C110" t="s">
        <v>57</v>
      </c>
      <c r="D110">
        <v>19</v>
      </c>
      <c r="E110">
        <v>3</v>
      </c>
      <c r="F110">
        <v>3</v>
      </c>
    </row>
    <row r="111" spans="1:6" x14ac:dyDescent="0.3">
      <c r="A111" s="2">
        <v>39668</v>
      </c>
      <c r="B111" t="s">
        <v>10</v>
      </c>
      <c r="C111" t="s">
        <v>47</v>
      </c>
      <c r="D111">
        <v>12</v>
      </c>
      <c r="E111">
        <v>3</v>
      </c>
      <c r="F111">
        <v>0</v>
      </c>
    </row>
    <row r="112" spans="1:6" x14ac:dyDescent="0.3">
      <c r="A112" s="2">
        <v>39668</v>
      </c>
      <c r="B112" t="s">
        <v>23</v>
      </c>
      <c r="C112" t="s">
        <v>32</v>
      </c>
      <c r="D112">
        <v>251</v>
      </c>
      <c r="E112">
        <v>12</v>
      </c>
      <c r="F112">
        <v>6</v>
      </c>
    </row>
    <row r="113" spans="1:6" x14ac:dyDescent="0.3">
      <c r="A113" s="2">
        <v>39669</v>
      </c>
      <c r="B113" t="s">
        <v>23</v>
      </c>
      <c r="C113" t="s">
        <v>57</v>
      </c>
      <c r="D113">
        <v>17</v>
      </c>
      <c r="E113">
        <v>3</v>
      </c>
      <c r="F113">
        <v>2</v>
      </c>
    </row>
    <row r="114" spans="1:6" x14ac:dyDescent="0.3">
      <c r="A114" s="2">
        <v>39669</v>
      </c>
      <c r="B114" t="s">
        <v>6</v>
      </c>
      <c r="C114" t="s">
        <v>78</v>
      </c>
      <c r="D114">
        <v>72</v>
      </c>
      <c r="E114">
        <v>49</v>
      </c>
      <c r="F114">
        <v>42</v>
      </c>
    </row>
    <row r="115" spans="1:6" x14ac:dyDescent="0.3">
      <c r="A115" s="2">
        <v>39669</v>
      </c>
      <c r="B115" t="s">
        <v>6</v>
      </c>
      <c r="C115" t="s">
        <v>79</v>
      </c>
      <c r="D115">
        <v>89</v>
      </c>
      <c r="E115">
        <v>4</v>
      </c>
      <c r="F115">
        <v>0</v>
      </c>
    </row>
    <row r="116" spans="1:6" x14ac:dyDescent="0.3">
      <c r="A116" s="2">
        <v>39669</v>
      </c>
      <c r="B116" t="s">
        <v>65</v>
      </c>
      <c r="C116" t="s">
        <v>72</v>
      </c>
      <c r="D116">
        <v>300</v>
      </c>
      <c r="E116">
        <v>19</v>
      </c>
      <c r="F116">
        <v>14</v>
      </c>
    </row>
    <row r="117" spans="1:6" x14ac:dyDescent="0.3">
      <c r="A117" s="2">
        <v>39669</v>
      </c>
      <c r="B117" t="s">
        <v>6</v>
      </c>
      <c r="C117" t="s">
        <v>80</v>
      </c>
      <c r="D117">
        <v>12</v>
      </c>
      <c r="E117">
        <v>4</v>
      </c>
      <c r="F117">
        <v>0</v>
      </c>
    </row>
    <row r="118" spans="1:6" x14ac:dyDescent="0.3">
      <c r="A118" s="2">
        <v>39670</v>
      </c>
      <c r="B118" t="s">
        <v>50</v>
      </c>
      <c r="C118" t="s">
        <v>81</v>
      </c>
      <c r="D118">
        <v>50</v>
      </c>
      <c r="E118">
        <v>13</v>
      </c>
      <c r="F118">
        <v>0</v>
      </c>
    </row>
    <row r="119" spans="1:6" x14ac:dyDescent="0.3">
      <c r="A119" s="2">
        <v>39670</v>
      </c>
      <c r="B119" t="s">
        <v>6</v>
      </c>
      <c r="C119" t="s">
        <v>82</v>
      </c>
      <c r="D119">
        <v>80</v>
      </c>
      <c r="E119">
        <v>7</v>
      </c>
      <c r="F119">
        <v>4</v>
      </c>
    </row>
    <row r="120" spans="1:6" x14ac:dyDescent="0.3">
      <c r="A120" s="2">
        <v>39670</v>
      </c>
      <c r="B120" t="s">
        <v>6</v>
      </c>
      <c r="C120" t="s">
        <v>34</v>
      </c>
      <c r="D120">
        <v>83</v>
      </c>
      <c r="E120">
        <v>15</v>
      </c>
      <c r="F120">
        <v>0</v>
      </c>
    </row>
    <row r="121" spans="1:6" x14ac:dyDescent="0.3">
      <c r="A121" s="2">
        <v>39671</v>
      </c>
      <c r="B121" t="s">
        <v>6</v>
      </c>
      <c r="C121" t="s">
        <v>20</v>
      </c>
      <c r="D121">
        <v>382</v>
      </c>
      <c r="E121">
        <v>85</v>
      </c>
      <c r="F121">
        <v>50</v>
      </c>
    </row>
    <row r="122" spans="1:6" x14ac:dyDescent="0.3">
      <c r="A122" s="2">
        <v>39671</v>
      </c>
      <c r="B122" t="s">
        <v>23</v>
      </c>
      <c r="C122" t="s">
        <v>83</v>
      </c>
      <c r="D122">
        <v>71</v>
      </c>
      <c r="E122">
        <v>26</v>
      </c>
      <c r="F122">
        <v>12</v>
      </c>
    </row>
    <row r="123" spans="1:6" x14ac:dyDescent="0.3">
      <c r="A123" s="2">
        <v>39671</v>
      </c>
      <c r="B123" t="s">
        <v>10</v>
      </c>
      <c r="C123" t="s">
        <v>60</v>
      </c>
      <c r="D123">
        <v>140</v>
      </c>
      <c r="E123">
        <v>33</v>
      </c>
      <c r="F123">
        <v>14</v>
      </c>
    </row>
    <row r="124" spans="1:6" x14ac:dyDescent="0.3">
      <c r="A124" s="2">
        <v>39671</v>
      </c>
      <c r="B124" t="s">
        <v>65</v>
      </c>
      <c r="C124" t="s">
        <v>84</v>
      </c>
      <c r="D124">
        <v>44</v>
      </c>
      <c r="E124">
        <v>1</v>
      </c>
      <c r="F124">
        <v>0</v>
      </c>
    </row>
    <row r="125" spans="1:6" x14ac:dyDescent="0.3">
      <c r="A125" s="2">
        <v>39671</v>
      </c>
      <c r="B125" t="s">
        <v>65</v>
      </c>
      <c r="C125" t="s">
        <v>85</v>
      </c>
      <c r="D125">
        <v>195</v>
      </c>
      <c r="E125">
        <v>6</v>
      </c>
      <c r="F125">
        <v>4</v>
      </c>
    </row>
    <row r="126" spans="1:6" x14ac:dyDescent="0.3">
      <c r="A126" s="2">
        <v>39673</v>
      </c>
      <c r="B126" t="s">
        <v>6</v>
      </c>
      <c r="C126" t="s">
        <v>73</v>
      </c>
      <c r="D126">
        <v>25</v>
      </c>
      <c r="E126">
        <v>1</v>
      </c>
      <c r="F126">
        <v>0</v>
      </c>
    </row>
    <row r="127" spans="1:6" x14ac:dyDescent="0.3">
      <c r="A127" s="2">
        <v>39675</v>
      </c>
      <c r="B127" t="s">
        <v>8</v>
      </c>
      <c r="C127" t="s">
        <v>86</v>
      </c>
      <c r="D127">
        <v>500</v>
      </c>
      <c r="E127">
        <v>50</v>
      </c>
      <c r="F127">
        <v>19</v>
      </c>
    </row>
    <row r="128" spans="1:6" x14ac:dyDescent="0.3">
      <c r="A128" s="2">
        <v>39675</v>
      </c>
      <c r="B128" t="s">
        <v>6</v>
      </c>
      <c r="C128" t="s">
        <v>87</v>
      </c>
      <c r="D128">
        <v>203</v>
      </c>
      <c r="E128">
        <v>35</v>
      </c>
      <c r="F128">
        <v>30</v>
      </c>
    </row>
    <row r="129" spans="1:6" x14ac:dyDescent="0.3">
      <c r="A129" s="2">
        <v>39676</v>
      </c>
      <c r="B129" t="s">
        <v>50</v>
      </c>
      <c r="C129" t="s">
        <v>88</v>
      </c>
      <c r="D129">
        <v>140</v>
      </c>
      <c r="E129">
        <v>40</v>
      </c>
      <c r="F129">
        <v>25</v>
      </c>
    </row>
    <row r="130" spans="1:6" x14ac:dyDescent="0.3">
      <c r="A130" s="2">
        <v>39676</v>
      </c>
      <c r="B130" t="s">
        <v>8</v>
      </c>
      <c r="C130" t="s">
        <v>89</v>
      </c>
      <c r="D130">
        <v>125</v>
      </c>
      <c r="E130">
        <v>11</v>
      </c>
      <c r="F130">
        <v>7</v>
      </c>
    </row>
    <row r="131" spans="1:6" x14ac:dyDescent="0.3">
      <c r="A131" s="2">
        <v>39676</v>
      </c>
      <c r="B131" t="s">
        <v>6</v>
      </c>
      <c r="C131" t="s">
        <v>87</v>
      </c>
      <c r="D131">
        <v>375</v>
      </c>
      <c r="E131">
        <v>46</v>
      </c>
      <c r="F131">
        <v>16</v>
      </c>
    </row>
    <row r="132" spans="1:6" x14ac:dyDescent="0.3">
      <c r="A132" s="2">
        <v>39677</v>
      </c>
      <c r="B132" t="s">
        <v>23</v>
      </c>
      <c r="C132" t="s">
        <v>25</v>
      </c>
      <c r="D132">
        <v>150</v>
      </c>
      <c r="E132">
        <v>8</v>
      </c>
      <c r="F132">
        <v>7</v>
      </c>
    </row>
    <row r="133" spans="1:6" x14ac:dyDescent="0.3">
      <c r="A133" s="2">
        <v>39677</v>
      </c>
      <c r="B133" t="s">
        <v>23</v>
      </c>
      <c r="C133" t="s">
        <v>75</v>
      </c>
      <c r="D133">
        <v>270</v>
      </c>
      <c r="E133">
        <v>7</v>
      </c>
      <c r="F133">
        <v>2</v>
      </c>
    </row>
    <row r="134" spans="1:6" x14ac:dyDescent="0.3">
      <c r="A134" s="2">
        <v>39677</v>
      </c>
      <c r="B134" t="s">
        <v>16</v>
      </c>
      <c r="C134" t="s">
        <v>90</v>
      </c>
      <c r="D134">
        <v>116</v>
      </c>
      <c r="E134">
        <v>19</v>
      </c>
      <c r="F134">
        <v>12</v>
      </c>
    </row>
    <row r="135" spans="1:6" x14ac:dyDescent="0.3">
      <c r="A135" s="2">
        <v>39677</v>
      </c>
      <c r="B135" t="s">
        <v>65</v>
      </c>
      <c r="C135" t="s">
        <v>85</v>
      </c>
      <c r="D135">
        <v>317</v>
      </c>
      <c r="E135">
        <v>63</v>
      </c>
      <c r="F135">
        <v>39</v>
      </c>
    </row>
    <row r="136" spans="1:6" x14ac:dyDescent="0.3">
      <c r="A136" s="2">
        <v>39678</v>
      </c>
      <c r="B136" t="s">
        <v>16</v>
      </c>
      <c r="C136" t="s">
        <v>91</v>
      </c>
      <c r="D136">
        <v>25</v>
      </c>
      <c r="E136">
        <v>1</v>
      </c>
      <c r="F136">
        <v>1</v>
      </c>
    </row>
    <row r="137" spans="1:6" x14ac:dyDescent="0.3">
      <c r="A137" s="2">
        <v>39678</v>
      </c>
      <c r="B137" t="s">
        <v>23</v>
      </c>
      <c r="C137" t="s">
        <v>25</v>
      </c>
      <c r="D137">
        <v>168</v>
      </c>
      <c r="E137">
        <v>42</v>
      </c>
      <c r="F137">
        <v>21</v>
      </c>
    </row>
    <row r="138" spans="1:6" x14ac:dyDescent="0.3">
      <c r="A138" s="2">
        <v>39678</v>
      </c>
      <c r="B138" t="s">
        <v>16</v>
      </c>
      <c r="C138" t="s">
        <v>92</v>
      </c>
      <c r="D138">
        <v>145</v>
      </c>
      <c r="E138">
        <v>1</v>
      </c>
      <c r="F138">
        <v>0</v>
      </c>
    </row>
    <row r="139" spans="1:6" x14ac:dyDescent="0.3">
      <c r="A139" s="2">
        <v>39678</v>
      </c>
      <c r="B139" t="s">
        <v>16</v>
      </c>
      <c r="C139" t="s">
        <v>53</v>
      </c>
      <c r="D139">
        <v>245</v>
      </c>
      <c r="E139">
        <v>6</v>
      </c>
      <c r="F139">
        <v>0</v>
      </c>
    </row>
    <row r="140" spans="1:6" x14ac:dyDescent="0.3">
      <c r="A140" s="2">
        <v>39679</v>
      </c>
      <c r="B140" t="s">
        <v>68</v>
      </c>
      <c r="C140" t="s">
        <v>93</v>
      </c>
      <c r="D140">
        <v>96</v>
      </c>
      <c r="E140">
        <v>35</v>
      </c>
      <c r="F140">
        <v>12</v>
      </c>
    </row>
    <row r="141" spans="1:6" x14ac:dyDescent="0.3">
      <c r="A141" s="2">
        <v>39679</v>
      </c>
      <c r="B141" t="s">
        <v>68</v>
      </c>
      <c r="C141" t="s">
        <v>94</v>
      </c>
      <c r="D141">
        <v>142</v>
      </c>
      <c r="E141">
        <v>21</v>
      </c>
      <c r="F141">
        <v>18</v>
      </c>
    </row>
    <row r="142" spans="1:6" x14ac:dyDescent="0.3">
      <c r="A142" s="2">
        <v>39679</v>
      </c>
      <c r="B142" t="s">
        <v>23</v>
      </c>
      <c r="C142" t="s">
        <v>95</v>
      </c>
      <c r="D142">
        <v>9</v>
      </c>
      <c r="E142">
        <v>1</v>
      </c>
      <c r="F142">
        <v>0</v>
      </c>
    </row>
    <row r="143" spans="1:6" x14ac:dyDescent="0.3">
      <c r="A143" s="2">
        <v>39679</v>
      </c>
      <c r="B143" t="s">
        <v>23</v>
      </c>
      <c r="C143" t="s">
        <v>96</v>
      </c>
      <c r="D143">
        <v>395</v>
      </c>
      <c r="E143">
        <v>101</v>
      </c>
      <c r="F143">
        <v>50</v>
      </c>
    </row>
    <row r="144" spans="1:6" x14ac:dyDescent="0.3">
      <c r="A144" s="2">
        <v>39679</v>
      </c>
      <c r="B144" t="s">
        <v>23</v>
      </c>
      <c r="C144" t="s">
        <v>97</v>
      </c>
      <c r="D144">
        <v>220</v>
      </c>
      <c r="E144">
        <v>2</v>
      </c>
      <c r="F144">
        <v>0</v>
      </c>
    </row>
    <row r="145" spans="1:6" x14ac:dyDescent="0.3">
      <c r="A145" s="2">
        <v>39679</v>
      </c>
      <c r="B145" t="s">
        <v>23</v>
      </c>
      <c r="C145" t="s">
        <v>25</v>
      </c>
      <c r="D145">
        <v>125</v>
      </c>
      <c r="E145">
        <v>18</v>
      </c>
      <c r="F145">
        <v>7</v>
      </c>
    </row>
    <row r="146" spans="1:6" x14ac:dyDescent="0.3">
      <c r="A146" s="2">
        <v>39679</v>
      </c>
      <c r="B146" t="s">
        <v>6</v>
      </c>
      <c r="C146" t="s">
        <v>98</v>
      </c>
      <c r="D146">
        <v>64</v>
      </c>
      <c r="E146">
        <v>15</v>
      </c>
      <c r="F146">
        <v>7</v>
      </c>
    </row>
    <row r="147" spans="1:6" x14ac:dyDescent="0.3">
      <c r="A147" s="2">
        <v>39681</v>
      </c>
      <c r="B147" t="s">
        <v>23</v>
      </c>
      <c r="C147" t="s">
        <v>25</v>
      </c>
      <c r="D147">
        <v>235</v>
      </c>
      <c r="E147">
        <v>15</v>
      </c>
      <c r="F147">
        <v>15</v>
      </c>
    </row>
    <row r="148" spans="1:6" x14ac:dyDescent="0.3">
      <c r="A148" s="2">
        <v>39682</v>
      </c>
      <c r="B148" t="s">
        <v>23</v>
      </c>
      <c r="C148" t="s">
        <v>33</v>
      </c>
      <c r="D148">
        <v>58</v>
      </c>
      <c r="E148">
        <v>2</v>
      </c>
      <c r="F148">
        <v>2</v>
      </c>
    </row>
    <row r="149" spans="1:6" x14ac:dyDescent="0.3">
      <c r="A149" s="2">
        <v>39682</v>
      </c>
      <c r="B149" t="s">
        <v>29</v>
      </c>
      <c r="C149" t="s">
        <v>30</v>
      </c>
      <c r="D149">
        <v>124</v>
      </c>
      <c r="E149">
        <v>7</v>
      </c>
      <c r="F149">
        <v>2</v>
      </c>
    </row>
    <row r="150" spans="1:6" x14ac:dyDescent="0.3">
      <c r="A150" s="2">
        <v>39683</v>
      </c>
      <c r="B150" t="s">
        <v>10</v>
      </c>
      <c r="C150" t="s">
        <v>99</v>
      </c>
      <c r="D150">
        <v>205</v>
      </c>
      <c r="E150">
        <v>44</v>
      </c>
      <c r="F150">
        <v>14</v>
      </c>
    </row>
    <row r="151" spans="1:6" x14ac:dyDescent="0.3">
      <c r="A151" s="2">
        <v>39685</v>
      </c>
      <c r="B151" t="s">
        <v>10</v>
      </c>
      <c r="C151" t="s">
        <v>100</v>
      </c>
      <c r="D151">
        <v>22</v>
      </c>
      <c r="E151">
        <v>6</v>
      </c>
      <c r="F151">
        <v>5</v>
      </c>
    </row>
    <row r="152" spans="1:6" x14ac:dyDescent="0.3">
      <c r="A152" s="2">
        <v>39685</v>
      </c>
      <c r="B152" t="s">
        <v>23</v>
      </c>
      <c r="C152" t="s">
        <v>101</v>
      </c>
      <c r="D152">
        <v>58</v>
      </c>
      <c r="E152">
        <v>5</v>
      </c>
      <c r="F152">
        <v>0</v>
      </c>
    </row>
    <row r="153" spans="1:6" x14ac:dyDescent="0.3">
      <c r="A153" s="2">
        <v>39685</v>
      </c>
      <c r="B153" t="s">
        <v>23</v>
      </c>
      <c r="C153" t="s">
        <v>102</v>
      </c>
      <c r="D153">
        <v>213</v>
      </c>
      <c r="E153">
        <v>12</v>
      </c>
      <c r="F153">
        <v>7</v>
      </c>
    </row>
    <row r="154" spans="1:6" x14ac:dyDescent="0.3">
      <c r="A154" s="2">
        <v>39685</v>
      </c>
      <c r="B154" t="s">
        <v>23</v>
      </c>
      <c r="C154" t="s">
        <v>24</v>
      </c>
      <c r="D154">
        <v>54</v>
      </c>
      <c r="E154">
        <v>5</v>
      </c>
      <c r="F154">
        <v>2</v>
      </c>
    </row>
    <row r="155" spans="1:6" x14ac:dyDescent="0.3">
      <c r="A155" s="2">
        <v>39685</v>
      </c>
      <c r="B155" t="s">
        <v>65</v>
      </c>
      <c r="C155" t="s">
        <v>103</v>
      </c>
      <c r="D155">
        <v>303</v>
      </c>
      <c r="E155">
        <v>47</v>
      </c>
      <c r="F155">
        <v>3</v>
      </c>
    </row>
    <row r="156" spans="1:6" x14ac:dyDescent="0.3">
      <c r="A156" s="2">
        <v>39685</v>
      </c>
      <c r="B156" t="s">
        <v>50</v>
      </c>
      <c r="C156" t="s">
        <v>104</v>
      </c>
      <c r="D156">
        <v>205</v>
      </c>
      <c r="E156">
        <v>47</v>
      </c>
      <c r="F156">
        <v>45</v>
      </c>
    </row>
    <row r="157" spans="1:6" x14ac:dyDescent="0.3">
      <c r="A157" s="2">
        <v>39685</v>
      </c>
      <c r="B157" t="s">
        <v>68</v>
      </c>
      <c r="C157" t="s">
        <v>105</v>
      </c>
      <c r="D157">
        <v>30</v>
      </c>
      <c r="E157">
        <v>3</v>
      </c>
      <c r="F157">
        <v>0</v>
      </c>
    </row>
    <row r="158" spans="1:6" x14ac:dyDescent="0.3">
      <c r="A158" s="2">
        <v>39686</v>
      </c>
      <c r="B158" t="s">
        <v>23</v>
      </c>
      <c r="C158" t="s">
        <v>33</v>
      </c>
      <c r="D158">
        <v>257</v>
      </c>
      <c r="E158">
        <v>13</v>
      </c>
      <c r="F158">
        <v>5</v>
      </c>
    </row>
    <row r="159" spans="1:6" x14ac:dyDescent="0.3">
      <c r="A159" s="2">
        <v>39686</v>
      </c>
      <c r="B159" t="s">
        <v>6</v>
      </c>
      <c r="C159" t="s">
        <v>106</v>
      </c>
      <c r="D159">
        <v>66</v>
      </c>
      <c r="E159">
        <v>10</v>
      </c>
      <c r="F159">
        <v>7</v>
      </c>
    </row>
    <row r="160" spans="1:6" x14ac:dyDescent="0.3">
      <c r="A160" s="2">
        <v>39687</v>
      </c>
      <c r="B160" t="s">
        <v>10</v>
      </c>
      <c r="C160" t="s">
        <v>100</v>
      </c>
      <c r="D160">
        <v>20</v>
      </c>
      <c r="E160">
        <v>2</v>
      </c>
      <c r="F160">
        <v>2</v>
      </c>
    </row>
    <row r="161" spans="1:6" x14ac:dyDescent="0.3">
      <c r="A161" s="2">
        <v>39687</v>
      </c>
      <c r="B161" t="s">
        <v>16</v>
      </c>
      <c r="C161" t="s">
        <v>31</v>
      </c>
      <c r="D161">
        <v>302</v>
      </c>
      <c r="E161">
        <v>14</v>
      </c>
      <c r="F161">
        <v>2</v>
      </c>
    </row>
    <row r="162" spans="1:6" x14ac:dyDescent="0.3">
      <c r="A162" s="2">
        <v>39687</v>
      </c>
      <c r="B162" t="s">
        <v>23</v>
      </c>
      <c r="C162" t="s">
        <v>25</v>
      </c>
      <c r="D162">
        <v>2</v>
      </c>
      <c r="E162">
        <v>0</v>
      </c>
      <c r="F162">
        <v>0</v>
      </c>
    </row>
    <row r="163" spans="1:6" x14ac:dyDescent="0.3">
      <c r="A163" s="2">
        <v>39688</v>
      </c>
      <c r="B163" t="s">
        <v>10</v>
      </c>
      <c r="C163" t="s">
        <v>100</v>
      </c>
      <c r="D163">
        <v>53</v>
      </c>
      <c r="E163">
        <v>16</v>
      </c>
      <c r="F163">
        <v>11</v>
      </c>
    </row>
    <row r="164" spans="1:6" x14ac:dyDescent="0.3">
      <c r="A164" s="2">
        <v>39688</v>
      </c>
      <c r="B164" t="s">
        <v>23</v>
      </c>
      <c r="C164" t="s">
        <v>25</v>
      </c>
      <c r="D164">
        <v>111</v>
      </c>
      <c r="E164">
        <v>50</v>
      </c>
      <c r="F164">
        <v>25</v>
      </c>
    </row>
    <row r="165" spans="1:6" x14ac:dyDescent="0.3">
      <c r="A165" s="2">
        <v>39688</v>
      </c>
      <c r="B165" t="s">
        <v>8</v>
      </c>
      <c r="C165" t="s">
        <v>107</v>
      </c>
      <c r="D165">
        <v>281</v>
      </c>
      <c r="E165">
        <v>2</v>
      </c>
      <c r="F165">
        <v>0</v>
      </c>
    </row>
    <row r="166" spans="1:6" x14ac:dyDescent="0.3">
      <c r="A166" s="2">
        <v>39689</v>
      </c>
      <c r="B166" t="s">
        <v>10</v>
      </c>
      <c r="C166" t="s">
        <v>100</v>
      </c>
      <c r="D166">
        <v>42</v>
      </c>
      <c r="E166">
        <v>8</v>
      </c>
      <c r="F166">
        <v>4</v>
      </c>
    </row>
    <row r="167" spans="1:6" x14ac:dyDescent="0.3">
      <c r="A167" s="2">
        <v>39689</v>
      </c>
      <c r="B167" t="s">
        <v>23</v>
      </c>
      <c r="C167" t="s">
        <v>25</v>
      </c>
      <c r="D167">
        <v>125</v>
      </c>
      <c r="E167">
        <v>20</v>
      </c>
      <c r="F167">
        <v>10</v>
      </c>
    </row>
    <row r="168" spans="1:6" x14ac:dyDescent="0.3">
      <c r="A168" s="2">
        <v>39689</v>
      </c>
      <c r="B168" t="s">
        <v>16</v>
      </c>
      <c r="C168" t="s">
        <v>77</v>
      </c>
      <c r="D168">
        <v>122</v>
      </c>
      <c r="E168">
        <v>5</v>
      </c>
      <c r="F168">
        <v>4</v>
      </c>
    </row>
    <row r="169" spans="1:6" x14ac:dyDescent="0.3">
      <c r="A169" s="2">
        <v>39690</v>
      </c>
      <c r="B169" t="s">
        <v>10</v>
      </c>
      <c r="C169" t="s">
        <v>100</v>
      </c>
      <c r="D169">
        <v>16</v>
      </c>
      <c r="E169">
        <v>4</v>
      </c>
      <c r="F169">
        <v>2</v>
      </c>
    </row>
    <row r="170" spans="1:6" x14ac:dyDescent="0.3">
      <c r="A170" s="2">
        <v>39690</v>
      </c>
      <c r="B170" t="s">
        <v>6</v>
      </c>
      <c r="C170" t="s">
        <v>108</v>
      </c>
      <c r="D170">
        <v>71</v>
      </c>
      <c r="E170">
        <v>1</v>
      </c>
      <c r="F170">
        <v>0</v>
      </c>
    </row>
    <row r="171" spans="1:6" x14ac:dyDescent="0.3">
      <c r="A171" s="2">
        <v>39690</v>
      </c>
      <c r="B171" t="s">
        <v>6</v>
      </c>
      <c r="C171" t="s">
        <v>109</v>
      </c>
      <c r="D171">
        <v>150</v>
      </c>
      <c r="E171">
        <v>55</v>
      </c>
      <c r="F171">
        <v>6</v>
      </c>
    </row>
    <row r="172" spans="1:6" x14ac:dyDescent="0.3">
      <c r="A172" s="2">
        <v>39690</v>
      </c>
      <c r="B172" t="s">
        <v>6</v>
      </c>
      <c r="C172" t="s">
        <v>110</v>
      </c>
      <c r="D172">
        <v>27</v>
      </c>
      <c r="E172">
        <v>2</v>
      </c>
      <c r="F172">
        <v>0</v>
      </c>
    </row>
    <row r="173" spans="1:6" x14ac:dyDescent="0.3">
      <c r="A173" s="2">
        <v>39690</v>
      </c>
      <c r="B173" t="s">
        <v>23</v>
      </c>
      <c r="C173" t="s">
        <v>76</v>
      </c>
      <c r="D173">
        <v>169</v>
      </c>
      <c r="E173">
        <v>4</v>
      </c>
      <c r="F173">
        <v>0</v>
      </c>
    </row>
    <row r="174" spans="1:6" x14ac:dyDescent="0.3">
      <c r="A174" s="2">
        <v>39690</v>
      </c>
      <c r="B174" t="s">
        <v>23</v>
      </c>
      <c r="C174" t="s">
        <v>111</v>
      </c>
      <c r="D174">
        <v>62</v>
      </c>
      <c r="E174">
        <v>2</v>
      </c>
      <c r="F174">
        <v>1</v>
      </c>
    </row>
    <row r="175" spans="1:6" x14ac:dyDescent="0.3">
      <c r="A175" s="2">
        <v>39691</v>
      </c>
      <c r="B175" t="s">
        <v>23</v>
      </c>
      <c r="C175" t="s">
        <v>76</v>
      </c>
      <c r="D175">
        <v>1120</v>
      </c>
      <c r="E175">
        <v>10</v>
      </c>
      <c r="F175">
        <v>1</v>
      </c>
    </row>
    <row r="176" spans="1:6" x14ac:dyDescent="0.3">
      <c r="A176" s="2">
        <v>39692</v>
      </c>
      <c r="B176" t="s">
        <v>16</v>
      </c>
      <c r="C176" t="s">
        <v>59</v>
      </c>
      <c r="D176">
        <v>61</v>
      </c>
      <c r="E176">
        <v>19</v>
      </c>
      <c r="F176">
        <v>16</v>
      </c>
    </row>
    <row r="177" spans="1:6" x14ac:dyDescent="0.3">
      <c r="A177" s="2">
        <v>39692</v>
      </c>
      <c r="B177" t="s">
        <v>23</v>
      </c>
      <c r="C177" t="s">
        <v>39</v>
      </c>
      <c r="D177">
        <v>1492</v>
      </c>
      <c r="E177">
        <v>14</v>
      </c>
      <c r="F177">
        <v>0</v>
      </c>
    </row>
    <row r="178" spans="1:6" x14ac:dyDescent="0.3">
      <c r="A178" s="2">
        <v>39692</v>
      </c>
      <c r="B178" t="s">
        <v>23</v>
      </c>
      <c r="C178" t="s">
        <v>25</v>
      </c>
      <c r="D178">
        <v>80</v>
      </c>
      <c r="E178">
        <v>4</v>
      </c>
      <c r="F178">
        <v>2</v>
      </c>
    </row>
    <row r="179" spans="1:6" x14ac:dyDescent="0.3">
      <c r="A179" s="2">
        <v>39692</v>
      </c>
      <c r="B179" t="s">
        <v>29</v>
      </c>
      <c r="C179" t="s">
        <v>30</v>
      </c>
      <c r="D179">
        <v>240</v>
      </c>
      <c r="E179">
        <v>6</v>
      </c>
      <c r="F179">
        <v>2</v>
      </c>
    </row>
    <row r="180" spans="1:6" x14ac:dyDescent="0.3">
      <c r="A180" s="2">
        <v>39692</v>
      </c>
      <c r="B180" t="s">
        <v>50</v>
      </c>
      <c r="C180" t="s">
        <v>112</v>
      </c>
      <c r="D180">
        <v>200</v>
      </c>
      <c r="E180">
        <v>41</v>
      </c>
      <c r="F180">
        <v>36</v>
      </c>
    </row>
    <row r="181" spans="1:6" x14ac:dyDescent="0.3">
      <c r="A181" s="2">
        <v>39692</v>
      </c>
      <c r="B181" t="s">
        <v>8</v>
      </c>
      <c r="C181" t="s">
        <v>113</v>
      </c>
      <c r="D181">
        <v>50</v>
      </c>
      <c r="E181">
        <v>1</v>
      </c>
      <c r="F181">
        <v>0</v>
      </c>
    </row>
    <row r="182" spans="1:6" x14ac:dyDescent="0.3">
      <c r="A182" s="2">
        <v>39693</v>
      </c>
      <c r="B182" t="s">
        <v>16</v>
      </c>
      <c r="C182" t="s">
        <v>91</v>
      </c>
      <c r="D182">
        <v>17</v>
      </c>
      <c r="E182">
        <v>2</v>
      </c>
      <c r="F182">
        <v>1</v>
      </c>
    </row>
    <row r="183" spans="1:6" x14ac:dyDescent="0.3">
      <c r="A183" s="2">
        <v>39693</v>
      </c>
      <c r="B183" t="s">
        <v>29</v>
      </c>
      <c r="C183" t="s">
        <v>30</v>
      </c>
      <c r="D183">
        <v>306</v>
      </c>
      <c r="E183">
        <v>7</v>
      </c>
      <c r="F183">
        <v>1</v>
      </c>
    </row>
    <row r="184" spans="1:6" x14ac:dyDescent="0.3">
      <c r="A184" s="2">
        <v>39693</v>
      </c>
      <c r="B184" t="s">
        <v>16</v>
      </c>
      <c r="C184" t="s">
        <v>114</v>
      </c>
      <c r="D184">
        <v>189</v>
      </c>
      <c r="E184">
        <v>1</v>
      </c>
      <c r="F184">
        <v>0</v>
      </c>
    </row>
    <row r="185" spans="1:6" x14ac:dyDescent="0.3">
      <c r="A185" s="2">
        <v>39694</v>
      </c>
      <c r="B185" t="s">
        <v>6</v>
      </c>
      <c r="C185" t="s">
        <v>115</v>
      </c>
      <c r="D185">
        <v>73</v>
      </c>
      <c r="E185">
        <v>5</v>
      </c>
      <c r="F185">
        <v>0</v>
      </c>
    </row>
    <row r="186" spans="1:6" x14ac:dyDescent="0.3">
      <c r="A186" s="2">
        <v>39694</v>
      </c>
      <c r="B186" t="s">
        <v>29</v>
      </c>
      <c r="C186" t="s">
        <v>116</v>
      </c>
      <c r="D186">
        <v>82</v>
      </c>
      <c r="E186">
        <v>17</v>
      </c>
      <c r="F186">
        <v>6</v>
      </c>
    </row>
    <row r="187" spans="1:6" x14ac:dyDescent="0.3">
      <c r="A187" s="2">
        <v>39695</v>
      </c>
      <c r="B187" t="s">
        <v>23</v>
      </c>
      <c r="C187" t="s">
        <v>117</v>
      </c>
      <c r="D187">
        <v>44</v>
      </c>
      <c r="E187">
        <v>8</v>
      </c>
      <c r="F187">
        <v>6</v>
      </c>
    </row>
    <row r="188" spans="1:6" x14ac:dyDescent="0.3">
      <c r="A188" s="2">
        <v>39695</v>
      </c>
      <c r="B188" t="s">
        <v>29</v>
      </c>
      <c r="C188" t="s">
        <v>118</v>
      </c>
      <c r="D188">
        <v>128</v>
      </c>
      <c r="E188">
        <v>16</v>
      </c>
      <c r="F188">
        <v>5</v>
      </c>
    </row>
    <row r="189" spans="1:6" x14ac:dyDescent="0.3">
      <c r="A189" s="2">
        <v>39696</v>
      </c>
      <c r="B189" t="s">
        <v>50</v>
      </c>
      <c r="C189" t="s">
        <v>119</v>
      </c>
      <c r="D189">
        <v>227</v>
      </c>
      <c r="E189">
        <v>51</v>
      </c>
      <c r="F189">
        <v>0</v>
      </c>
    </row>
    <row r="190" spans="1:6" x14ac:dyDescent="0.3">
      <c r="A190" s="2">
        <v>39696</v>
      </c>
      <c r="B190" t="s">
        <v>23</v>
      </c>
      <c r="C190" t="s">
        <v>25</v>
      </c>
      <c r="D190">
        <v>144</v>
      </c>
      <c r="E190">
        <v>17</v>
      </c>
      <c r="F190">
        <v>10</v>
      </c>
    </row>
    <row r="191" spans="1:6" x14ac:dyDescent="0.3">
      <c r="A191" s="2">
        <v>39696</v>
      </c>
      <c r="B191" t="s">
        <v>23</v>
      </c>
      <c r="C191" t="s">
        <v>120</v>
      </c>
      <c r="D191">
        <v>140</v>
      </c>
      <c r="E191">
        <v>37</v>
      </c>
      <c r="F191">
        <v>15</v>
      </c>
    </row>
    <row r="192" spans="1:6" x14ac:dyDescent="0.3">
      <c r="A192" s="2">
        <v>39696</v>
      </c>
      <c r="B192" t="s">
        <v>10</v>
      </c>
      <c r="C192" t="s">
        <v>60</v>
      </c>
      <c r="D192">
        <v>71</v>
      </c>
      <c r="E192">
        <v>33</v>
      </c>
      <c r="F192">
        <v>14</v>
      </c>
    </row>
    <row r="193" spans="1:6" x14ac:dyDescent="0.3">
      <c r="A193" s="2">
        <v>39696</v>
      </c>
      <c r="B193" t="s">
        <v>16</v>
      </c>
      <c r="C193" t="s">
        <v>121</v>
      </c>
      <c r="D193">
        <v>386</v>
      </c>
      <c r="E193">
        <v>17</v>
      </c>
      <c r="F193">
        <v>13</v>
      </c>
    </row>
    <row r="194" spans="1:6" x14ac:dyDescent="0.3">
      <c r="A194" s="2">
        <v>39696</v>
      </c>
      <c r="B194" t="s">
        <v>16</v>
      </c>
      <c r="C194" t="s">
        <v>53</v>
      </c>
      <c r="D194">
        <v>473</v>
      </c>
      <c r="E194">
        <v>6</v>
      </c>
      <c r="F194">
        <v>0</v>
      </c>
    </row>
    <row r="195" spans="1:6" x14ac:dyDescent="0.3">
      <c r="A195" s="2">
        <v>39698</v>
      </c>
      <c r="B195" t="s">
        <v>16</v>
      </c>
      <c r="C195" t="s">
        <v>17</v>
      </c>
      <c r="D195">
        <v>215</v>
      </c>
      <c r="E195">
        <v>13</v>
      </c>
      <c r="F195">
        <v>1</v>
      </c>
    </row>
    <row r="196" spans="1:6" x14ac:dyDescent="0.3">
      <c r="A196" s="2">
        <v>39698</v>
      </c>
      <c r="B196" t="s">
        <v>65</v>
      </c>
      <c r="C196" t="s">
        <v>122</v>
      </c>
      <c r="D196">
        <v>70</v>
      </c>
      <c r="E196">
        <v>4</v>
      </c>
      <c r="F196">
        <v>0</v>
      </c>
    </row>
    <row r="197" spans="1:6" x14ac:dyDescent="0.3">
      <c r="A197" s="2">
        <v>39698</v>
      </c>
      <c r="B197" t="s">
        <v>50</v>
      </c>
      <c r="C197" t="s">
        <v>123</v>
      </c>
      <c r="D197">
        <v>69</v>
      </c>
      <c r="E197">
        <v>13</v>
      </c>
      <c r="F197">
        <v>7</v>
      </c>
    </row>
    <row r="198" spans="1:6" x14ac:dyDescent="0.3">
      <c r="A198" s="2">
        <v>39699</v>
      </c>
      <c r="B198" t="s">
        <v>65</v>
      </c>
      <c r="C198" t="s">
        <v>124</v>
      </c>
      <c r="D198">
        <v>248</v>
      </c>
      <c r="E198">
        <v>8</v>
      </c>
      <c r="F198">
        <v>6</v>
      </c>
    </row>
    <row r="199" spans="1:6" x14ac:dyDescent="0.3">
      <c r="A199" s="2">
        <v>39699</v>
      </c>
      <c r="B199" t="s">
        <v>10</v>
      </c>
      <c r="C199" t="s">
        <v>125</v>
      </c>
      <c r="D199">
        <v>14</v>
      </c>
      <c r="E199">
        <v>3</v>
      </c>
      <c r="F199">
        <v>0</v>
      </c>
    </row>
    <row r="200" spans="1:6" x14ac:dyDescent="0.3">
      <c r="A200" s="2">
        <v>39699</v>
      </c>
      <c r="B200" t="s">
        <v>65</v>
      </c>
      <c r="C200" t="s">
        <v>126</v>
      </c>
      <c r="D200">
        <v>215</v>
      </c>
      <c r="E200">
        <v>1</v>
      </c>
      <c r="F200">
        <v>0</v>
      </c>
    </row>
    <row r="201" spans="1:6" x14ac:dyDescent="0.3">
      <c r="A201" s="2">
        <v>39700</v>
      </c>
      <c r="B201" t="s">
        <v>65</v>
      </c>
      <c r="C201" t="s">
        <v>127</v>
      </c>
      <c r="D201">
        <v>260</v>
      </c>
      <c r="E201">
        <v>12</v>
      </c>
      <c r="F201">
        <v>2</v>
      </c>
    </row>
    <row r="202" spans="1:6" x14ac:dyDescent="0.3">
      <c r="A202" s="2">
        <v>39701</v>
      </c>
      <c r="B202" t="s">
        <v>8</v>
      </c>
      <c r="C202" t="s">
        <v>128</v>
      </c>
      <c r="D202">
        <v>14</v>
      </c>
      <c r="E202">
        <v>1</v>
      </c>
      <c r="F202">
        <v>1</v>
      </c>
    </row>
    <row r="203" spans="1:6" x14ac:dyDescent="0.3">
      <c r="A203" s="2">
        <v>39701</v>
      </c>
      <c r="B203" t="s">
        <v>50</v>
      </c>
      <c r="C203" t="s">
        <v>129</v>
      </c>
      <c r="D203">
        <v>118</v>
      </c>
      <c r="E203">
        <v>19</v>
      </c>
      <c r="F203">
        <v>6</v>
      </c>
    </row>
    <row r="204" spans="1:6" x14ac:dyDescent="0.3">
      <c r="A204" s="2">
        <v>39701</v>
      </c>
      <c r="B204" t="s">
        <v>6</v>
      </c>
      <c r="C204" t="s">
        <v>34</v>
      </c>
      <c r="D204">
        <v>27</v>
      </c>
      <c r="E204">
        <v>12</v>
      </c>
      <c r="F204">
        <v>0</v>
      </c>
    </row>
    <row r="205" spans="1:6" x14ac:dyDescent="0.3">
      <c r="A205" s="2">
        <v>39706</v>
      </c>
      <c r="B205" t="s">
        <v>16</v>
      </c>
      <c r="C205" t="s">
        <v>130</v>
      </c>
      <c r="D205">
        <v>170</v>
      </c>
      <c r="E205">
        <v>8</v>
      </c>
      <c r="F205">
        <v>2</v>
      </c>
    </row>
    <row r="206" spans="1:6" x14ac:dyDescent="0.3">
      <c r="A206" s="2">
        <v>39708</v>
      </c>
      <c r="B206" t="s">
        <v>8</v>
      </c>
      <c r="C206" t="s">
        <v>131</v>
      </c>
      <c r="D206">
        <v>162</v>
      </c>
      <c r="E206">
        <v>10</v>
      </c>
      <c r="F206">
        <v>8</v>
      </c>
    </row>
    <row r="207" spans="1:6" x14ac:dyDescent="0.3">
      <c r="A207" s="2">
        <v>39711</v>
      </c>
      <c r="B207" t="s">
        <v>6</v>
      </c>
      <c r="C207" t="s">
        <v>132</v>
      </c>
      <c r="D207">
        <v>60</v>
      </c>
      <c r="E207">
        <v>2</v>
      </c>
      <c r="F207">
        <v>0</v>
      </c>
    </row>
    <row r="208" spans="1:6" x14ac:dyDescent="0.3">
      <c r="A208" s="2">
        <v>39711</v>
      </c>
      <c r="B208" t="s">
        <v>23</v>
      </c>
      <c r="C208" t="s">
        <v>133</v>
      </c>
      <c r="D208">
        <v>25</v>
      </c>
      <c r="E208">
        <v>7</v>
      </c>
      <c r="F208">
        <v>1</v>
      </c>
    </row>
    <row r="209" spans="1:6" x14ac:dyDescent="0.3">
      <c r="A209" s="2">
        <v>39711</v>
      </c>
      <c r="B209" t="s">
        <v>23</v>
      </c>
      <c r="C209" t="s">
        <v>28</v>
      </c>
      <c r="D209">
        <v>62</v>
      </c>
      <c r="E209">
        <v>4</v>
      </c>
      <c r="F209">
        <v>0</v>
      </c>
    </row>
    <row r="210" spans="1:6" x14ac:dyDescent="0.3">
      <c r="A210" s="2">
        <v>39713</v>
      </c>
      <c r="B210" t="s">
        <v>50</v>
      </c>
      <c r="C210" t="s">
        <v>134</v>
      </c>
      <c r="D210">
        <v>850</v>
      </c>
      <c r="E210">
        <v>30</v>
      </c>
      <c r="F210">
        <v>30</v>
      </c>
    </row>
    <row r="211" spans="1:6" x14ac:dyDescent="0.3">
      <c r="A211" s="2">
        <v>39713</v>
      </c>
      <c r="B211" t="s">
        <v>6</v>
      </c>
      <c r="C211" t="s">
        <v>135</v>
      </c>
      <c r="D211">
        <v>256</v>
      </c>
      <c r="E211">
        <v>8</v>
      </c>
      <c r="F211">
        <v>3</v>
      </c>
    </row>
    <row r="212" spans="1:6" x14ac:dyDescent="0.3">
      <c r="A212" s="2">
        <v>39715</v>
      </c>
      <c r="B212" t="s">
        <v>65</v>
      </c>
      <c r="C212" t="s">
        <v>136</v>
      </c>
      <c r="D212">
        <v>59</v>
      </c>
      <c r="E212">
        <v>3</v>
      </c>
      <c r="F212">
        <v>2</v>
      </c>
    </row>
    <row r="213" spans="1:6" x14ac:dyDescent="0.3">
      <c r="A213" s="2">
        <v>39718</v>
      </c>
      <c r="B213" t="s">
        <v>65</v>
      </c>
      <c r="C213" t="s">
        <v>137</v>
      </c>
      <c r="D213">
        <v>66</v>
      </c>
      <c r="E213">
        <v>9</v>
      </c>
      <c r="F213">
        <v>3</v>
      </c>
    </row>
    <row r="214" spans="1:6" x14ac:dyDescent="0.3">
      <c r="A214" s="2">
        <v>39722</v>
      </c>
      <c r="B214" t="s">
        <v>23</v>
      </c>
      <c r="C214" t="s">
        <v>138</v>
      </c>
      <c r="D214">
        <v>23</v>
      </c>
      <c r="E214">
        <v>2</v>
      </c>
      <c r="F214">
        <v>0</v>
      </c>
    </row>
    <row r="215" spans="1:6" x14ac:dyDescent="0.3">
      <c r="A215" s="2">
        <v>39722</v>
      </c>
      <c r="B215" t="s">
        <v>65</v>
      </c>
      <c r="C215" t="s">
        <v>139</v>
      </c>
      <c r="D215">
        <v>18</v>
      </c>
      <c r="E215">
        <v>7</v>
      </c>
      <c r="F215">
        <v>1</v>
      </c>
    </row>
    <row r="216" spans="1:6" x14ac:dyDescent="0.3">
      <c r="A216" s="2">
        <v>39723</v>
      </c>
      <c r="B216" t="s">
        <v>23</v>
      </c>
      <c r="C216" t="s">
        <v>32</v>
      </c>
      <c r="D216">
        <v>120</v>
      </c>
      <c r="E216">
        <v>1</v>
      </c>
      <c r="F216">
        <v>0</v>
      </c>
    </row>
    <row r="217" spans="1:6" x14ac:dyDescent="0.3">
      <c r="A217" s="2">
        <v>39724</v>
      </c>
      <c r="B217" t="s">
        <v>23</v>
      </c>
      <c r="C217" t="s">
        <v>140</v>
      </c>
      <c r="D217">
        <v>4</v>
      </c>
      <c r="E217">
        <v>1</v>
      </c>
      <c r="F217">
        <v>0</v>
      </c>
    </row>
    <row r="218" spans="1:6" x14ac:dyDescent="0.3">
      <c r="A218" s="2">
        <v>39726</v>
      </c>
      <c r="B218" t="s">
        <v>6</v>
      </c>
      <c r="C218" t="s">
        <v>115</v>
      </c>
      <c r="D218">
        <v>239</v>
      </c>
      <c r="E218">
        <v>48</v>
      </c>
      <c r="F218">
        <v>27</v>
      </c>
    </row>
    <row r="219" spans="1:6" x14ac:dyDescent="0.3">
      <c r="A219" s="2">
        <v>39726</v>
      </c>
      <c r="B219" t="s">
        <v>23</v>
      </c>
      <c r="C219" t="s">
        <v>32</v>
      </c>
      <c r="D219">
        <v>220</v>
      </c>
      <c r="E219">
        <v>14</v>
      </c>
      <c r="F219">
        <v>6</v>
      </c>
    </row>
    <row r="220" spans="1:6" x14ac:dyDescent="0.3">
      <c r="A220" s="2">
        <v>39728</v>
      </c>
      <c r="B220" t="s">
        <v>23</v>
      </c>
      <c r="C220" t="s">
        <v>32</v>
      </c>
      <c r="D220">
        <v>400</v>
      </c>
      <c r="E220">
        <v>2</v>
      </c>
      <c r="F220">
        <v>0</v>
      </c>
    </row>
    <row r="221" spans="1:6" x14ac:dyDescent="0.3">
      <c r="A221" s="2">
        <v>39731</v>
      </c>
      <c r="B221" t="s">
        <v>23</v>
      </c>
      <c r="C221" t="s">
        <v>32</v>
      </c>
      <c r="D221">
        <v>170</v>
      </c>
      <c r="E221">
        <v>4</v>
      </c>
      <c r="F221">
        <v>3</v>
      </c>
    </row>
    <row r="222" spans="1:6" x14ac:dyDescent="0.3">
      <c r="A222" s="2">
        <v>39734</v>
      </c>
      <c r="B222" t="s">
        <v>6</v>
      </c>
      <c r="C222" t="s">
        <v>141</v>
      </c>
      <c r="D222">
        <v>124</v>
      </c>
      <c r="E222">
        <v>8</v>
      </c>
      <c r="F222">
        <v>0</v>
      </c>
    </row>
    <row r="223" spans="1:6" x14ac:dyDescent="0.3">
      <c r="A223" s="2">
        <v>39736</v>
      </c>
      <c r="B223" t="s">
        <v>23</v>
      </c>
      <c r="C223" t="s">
        <v>102</v>
      </c>
      <c r="D223">
        <v>314</v>
      </c>
      <c r="E223">
        <v>1</v>
      </c>
      <c r="F223">
        <v>1</v>
      </c>
    </row>
    <row r="224" spans="1:6" x14ac:dyDescent="0.3">
      <c r="A224" s="2">
        <v>39743</v>
      </c>
      <c r="B224" t="s">
        <v>6</v>
      </c>
      <c r="C224" t="s">
        <v>115</v>
      </c>
      <c r="D224">
        <v>423</v>
      </c>
      <c r="E224">
        <v>70</v>
      </c>
      <c r="F224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725A-896B-4275-8AC8-79E22C07A8A6}">
  <dimension ref="A3:D14"/>
  <sheetViews>
    <sheetView workbookViewId="0">
      <selection activeCell="N10" sqref="N10"/>
    </sheetView>
  </sheetViews>
  <sheetFormatPr defaultRowHeight="14.4" x14ac:dyDescent="0.3"/>
  <cols>
    <col min="1" max="1" width="24.21875" bestFit="1" customWidth="1"/>
    <col min="2" max="2" width="17.21875" bestFit="1" customWidth="1"/>
    <col min="3" max="3" width="12.109375" bestFit="1" customWidth="1"/>
  </cols>
  <sheetData>
    <row r="3" spans="1:4" x14ac:dyDescent="0.3">
      <c r="A3" s="3" t="s">
        <v>142</v>
      </c>
      <c r="B3" t="s">
        <v>145</v>
      </c>
      <c r="C3" t="s">
        <v>146</v>
      </c>
      <c r="D3" t="s">
        <v>147</v>
      </c>
    </row>
    <row r="4" spans="1:4" x14ac:dyDescent="0.3">
      <c r="A4" s="4" t="s">
        <v>23</v>
      </c>
      <c r="B4">
        <v>9518</v>
      </c>
      <c r="C4">
        <v>847</v>
      </c>
      <c r="D4">
        <f>GETPIVOTDATA("Sum of Cases",$A3,"REGION","Béni Mellal-Khénifra")/GETPIVOTDATA("Sum of Susceptible",$A3,"REGION","Béni Mellal-Khénifra")</f>
        <v>8.8989283462912377E-2</v>
      </c>
    </row>
    <row r="5" spans="1:4" x14ac:dyDescent="0.3">
      <c r="A5" s="4" t="s">
        <v>8</v>
      </c>
      <c r="B5">
        <v>11930</v>
      </c>
      <c r="C5">
        <v>1585</v>
      </c>
      <c r="D5">
        <f>GETPIVOTDATA("Sum of Cases",$A$3,"REGION","Casablanca-Settat")/GETPIVOTDATA("Sum of Susceptible",$A$3,"REGION","Casablanca-Settat")</f>
        <v>0.13285834031852473</v>
      </c>
    </row>
    <row r="6" spans="1:4" x14ac:dyDescent="0.3">
      <c r="A6" s="4" t="s">
        <v>29</v>
      </c>
      <c r="B6">
        <v>2945</v>
      </c>
      <c r="C6">
        <v>90</v>
      </c>
      <c r="D6">
        <f>GETPIVOTDATA("Sum of Cases",$A$3,"REGION","Daraâ-Tafilalet")/GETPIVOTDATA("Sum of Susceptible",$A$3,"REGION","Daraâ-Tafilalet")</f>
        <v>3.0560271646859084E-2</v>
      </c>
    </row>
    <row r="7" spans="1:4" x14ac:dyDescent="0.3">
      <c r="A7" s="4" t="s">
        <v>6</v>
      </c>
      <c r="B7">
        <v>10345</v>
      </c>
      <c r="C7">
        <v>1219</v>
      </c>
      <c r="D7">
        <f>GETPIVOTDATA("Sum of Cases",$A$3,"REGION","Fés-Meknès")/GETPIVOTDATA("Sum of Susceptible",$A$3,"REGION","Fés-Meknès")</f>
        <v>0.11783470275495408</v>
      </c>
    </row>
    <row r="8" spans="1:4" x14ac:dyDescent="0.3">
      <c r="A8" s="4" t="s">
        <v>50</v>
      </c>
      <c r="B8">
        <v>2114</v>
      </c>
      <c r="C8">
        <v>298</v>
      </c>
      <c r="D8">
        <f>GETPIVOTDATA("Sum of Cases",$A$3,"REGION","Marrakech-Safi")/GETPIVOTDATA("Sum of Susceptible",$A$3,"REGION","Marrakech-Safi")</f>
        <v>0.14096499526963102</v>
      </c>
    </row>
    <row r="9" spans="1:4" x14ac:dyDescent="0.3">
      <c r="A9" s="4" t="s">
        <v>16</v>
      </c>
      <c r="B9">
        <v>4532</v>
      </c>
      <c r="C9">
        <v>232</v>
      </c>
      <c r="D9">
        <f>GETPIVOTDATA("Sum of Cases",$A$3,"REGION","Oriental")/GETPIVOTDATA("Sum of Susceptible",$A$3,"REGION","Oriental")</f>
        <v>5.1191526919682262E-2</v>
      </c>
    </row>
    <row r="10" spans="1:4" x14ac:dyDescent="0.3">
      <c r="A10" s="4" t="s">
        <v>65</v>
      </c>
      <c r="B10">
        <v>3144</v>
      </c>
      <c r="C10">
        <v>620</v>
      </c>
      <c r="D10">
        <f>GETPIVOTDATA("Sum of Cases",$A$3,"REGION","Rabat-Salé-Kénitra")/GETPIVOTDATA("Sum of Susceptible",$A$3,"REGION","Rabat-Salé-Kénitra")</f>
        <v>0.19720101781170485</v>
      </c>
    </row>
    <row r="11" spans="1:4" x14ac:dyDescent="0.3">
      <c r="A11" s="4" t="s">
        <v>68</v>
      </c>
      <c r="B11">
        <v>776</v>
      </c>
      <c r="C11">
        <v>265</v>
      </c>
      <c r="D11">
        <f>GETPIVOTDATA("Sum of Cases",$A$3,"REGION","Souss-Massa")/GETPIVOTDATA("Sum of Susceptible",$A$3,"REGION","Souss-Massa")</f>
        <v>0.34149484536082475</v>
      </c>
    </row>
    <row r="12" spans="1:4" x14ac:dyDescent="0.3">
      <c r="A12" s="4" t="s">
        <v>10</v>
      </c>
      <c r="B12">
        <v>1776</v>
      </c>
      <c r="C12">
        <v>453</v>
      </c>
      <c r="D12">
        <f>GETPIVOTDATA("Sum of Cases",$A$3,"REGION","Tanger-Tétouan-Al Hoceima")/GETPIVOTDATA("Sum of Susceptible",$A$3,"REGION","Tanger-Tétouan-Al Hoceima")</f>
        <v>0.25506756756756754</v>
      </c>
    </row>
    <row r="13" spans="1:4" x14ac:dyDescent="0.3">
      <c r="A13" s="4" t="s">
        <v>143</v>
      </c>
    </row>
    <row r="14" spans="1:4" x14ac:dyDescent="0.3">
      <c r="A14" s="4" t="s">
        <v>144</v>
      </c>
      <c r="B14">
        <v>47080</v>
      </c>
      <c r="C14">
        <v>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Nhili</cp:lastModifiedBy>
  <dcterms:created xsi:type="dcterms:W3CDTF">2025-12-18T21:16:43Z</dcterms:created>
  <dcterms:modified xsi:type="dcterms:W3CDTF">2025-12-23T12:43:17Z</dcterms:modified>
</cp:coreProperties>
</file>